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d027a298505361d5/Desktop/Excel-inventory-dashboard/"/>
    </mc:Choice>
  </mc:AlternateContent>
  <xr:revisionPtr revIDLastSave="0" documentId="8_{3F66A886-F11F-4081-BDA9-976359160F3F}" xr6:coauthVersionLast="47" xr6:coauthVersionMax="47" xr10:uidLastSave="{00000000-0000-0000-0000-000000000000}"/>
  <bookViews>
    <workbookView xWindow="-108" yWindow="-108" windowWidth="23256" windowHeight="12456" activeTab="1" xr2:uid="{9718A73B-B204-4C10-B15B-6268963A9253}"/>
  </bookViews>
  <sheets>
    <sheet name="Sheet1" sheetId="1" r:id="rId1"/>
    <sheet name="Dashboard" sheetId="4" r:id="rId2"/>
    <sheet name="KPI_Calculations" sheetId="2" r:id="rId3"/>
    <sheet name="Analysis_Pivots" sheetId="5" r:id="rId4"/>
  </sheets>
  <definedNames>
    <definedName name="_xlnm._FilterDatabase" localSheetId="0" hidden="1">Sheet1!$A$1:$L$200</definedName>
    <definedName name="Slicer_Category">#N/A</definedName>
    <definedName name="Slicer_Stock_Status">#N/A</definedName>
    <definedName name="Slicer_Supplier">#N/A</definedName>
    <definedName name="Slicer_Warehouse">#N/A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4" i="4" l="1"/>
  <c r="E24" i="4"/>
  <c r="C3" i="4"/>
  <c r="B4" i="4"/>
  <c r="L200" i="1"/>
  <c r="K200" i="1"/>
  <c r="J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alcChain>
</file>

<file path=xl/sharedStrings.xml><?xml version="1.0" encoding="utf-8"?>
<sst xmlns="http://schemas.openxmlformats.org/spreadsheetml/2006/main" count="1029" uniqueCount="424">
  <si>
    <t>Item_ID</t>
  </si>
  <si>
    <t>Product</t>
  </si>
  <si>
    <t>Category</t>
  </si>
  <si>
    <t>Supplier</t>
  </si>
  <si>
    <t>Warehouse</t>
  </si>
  <si>
    <t>Stock_In</t>
  </si>
  <si>
    <t>Stock_Out</t>
  </si>
  <si>
    <t>Current_Stock</t>
  </si>
  <si>
    <t>Reorder_Level</t>
  </si>
  <si>
    <t>Lead_Time_Days</t>
  </si>
  <si>
    <t>I001</t>
  </si>
  <si>
    <t>Laptop</t>
  </si>
  <si>
    <t>Electronics</t>
  </si>
  <si>
    <t>I002</t>
  </si>
  <si>
    <t>Chair</t>
  </si>
  <si>
    <t>Furniture</t>
  </si>
  <si>
    <t>I003</t>
  </si>
  <si>
    <t>I004</t>
  </si>
  <si>
    <t>I005</t>
  </si>
  <si>
    <t>I006</t>
  </si>
  <si>
    <t>I007</t>
  </si>
  <si>
    <t>I008</t>
  </si>
  <si>
    <t>I009</t>
  </si>
  <si>
    <t>I010</t>
  </si>
  <si>
    <t>I011</t>
  </si>
  <si>
    <t>I012</t>
  </si>
  <si>
    <t>I013</t>
  </si>
  <si>
    <t>I014</t>
  </si>
  <si>
    <t>I015</t>
  </si>
  <si>
    <t>I016</t>
  </si>
  <si>
    <t>I017</t>
  </si>
  <si>
    <t>I018</t>
  </si>
  <si>
    <t>I019</t>
  </si>
  <si>
    <t>I020</t>
  </si>
  <si>
    <t>I021</t>
  </si>
  <si>
    <t>I022</t>
  </si>
  <si>
    <t>I023</t>
  </si>
  <si>
    <t>I024</t>
  </si>
  <si>
    <t>I025</t>
  </si>
  <si>
    <t>I026</t>
  </si>
  <si>
    <t>I027</t>
  </si>
  <si>
    <t>I028</t>
  </si>
  <si>
    <t>I029</t>
  </si>
  <si>
    <t>I030</t>
  </si>
  <si>
    <t>I031</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</si>
  <si>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</si>
  <si>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</si>
  <si>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</si>
  <si>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</si>
  <si>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</si>
  <si>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</si>
  <si>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</si>
  <si>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</si>
  <si>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</si>
  <si>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</si>
  <si>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</si>
  <si>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</si>
  <si>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</si>
  <si>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</si>
  <si>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</si>
  <si>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</si>
  <si>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</si>
  <si>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</si>
  <si>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</si>
  <si>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</si>
  <si>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</si>
  <si>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</si>
  <si>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I054</t>
  </si>
  <si>
    <t>I055</t>
  </si>
  <si>
    <t>I056</t>
  </si>
  <si>
    <t>I057</t>
  </si>
  <si>
    <t>I058</t>
  </si>
  <si>
    <t>I059</t>
  </si>
  <si>
    <t>I060</t>
  </si>
  <si>
    <t>I061</t>
  </si>
  <si>
    <t>I062</t>
  </si>
  <si>
    <t>I063</t>
  </si>
  <si>
    <t>I064</t>
  </si>
  <si>
    <t>I065</t>
  </si>
  <si>
    <t>I066</t>
  </si>
  <si>
    <t>I067</t>
  </si>
  <si>
    <t>I068</t>
  </si>
  <si>
    <t>I069</t>
  </si>
  <si>
    <t>I070</t>
  </si>
  <si>
    <t>I071</t>
  </si>
  <si>
    <t>I072</t>
  </si>
  <si>
    <t>I073</t>
  </si>
  <si>
    <t>I074</t>
  </si>
  <si>
    <t>I075</t>
  </si>
  <si>
    <t>I076</t>
  </si>
  <si>
    <t>I077</t>
  </si>
  <si>
    <t>I078</t>
  </si>
  <si>
    <t>I079</t>
  </si>
  <si>
    <t>I080</t>
  </si>
  <si>
    <t>I081</t>
  </si>
  <si>
    <t>I082</t>
  </si>
  <si>
    <t>I083</t>
  </si>
  <si>
    <t>I084</t>
  </si>
  <si>
    <t>I085</t>
  </si>
  <si>
    <t>I086</t>
  </si>
  <si>
    <t>I087</t>
  </si>
  <si>
    <t>I088</t>
  </si>
  <si>
    <t>I089</t>
  </si>
  <si>
    <t>I090</t>
  </si>
  <si>
    <t>I091</t>
  </si>
  <si>
    <t>I092</t>
  </si>
  <si>
    <t>I093</t>
  </si>
  <si>
    <t>I094</t>
  </si>
  <si>
    <t>I095</t>
  </si>
  <si>
    <t>I096</t>
  </si>
  <si>
    <t>I097</t>
  </si>
  <si>
    <t>I098</t>
  </si>
  <si>
    <t>I099</t>
  </si>
  <si>
    <t>I100</t>
  </si>
  <si>
    <t>I101</t>
  </si>
  <si>
    <t>I102</t>
  </si>
  <si>
    <t>I103</t>
  </si>
  <si>
    <t>I104</t>
  </si>
  <si>
    <t>I105</t>
  </si>
  <si>
    <t>I106</t>
  </si>
  <si>
    <t>I107</t>
  </si>
  <si>
    <t>I108</t>
  </si>
  <si>
    <t>I109</t>
  </si>
  <si>
    <t>I110</t>
  </si>
  <si>
    <t>I111</t>
  </si>
  <si>
    <t>I112</t>
  </si>
  <si>
    <t>I113</t>
  </si>
  <si>
    <t>I114</t>
  </si>
  <si>
    <t>I115</t>
  </si>
  <si>
    <t>I116</t>
  </si>
  <si>
    <t>I117</t>
  </si>
  <si>
    <t>I118</t>
  </si>
  <si>
    <t>I119</t>
  </si>
  <si>
    <t>I120</t>
  </si>
  <si>
    <t>I121</t>
  </si>
  <si>
    <t>I122</t>
  </si>
  <si>
    <t>I123</t>
  </si>
  <si>
    <t>I124</t>
  </si>
  <si>
    <t>I125</t>
  </si>
  <si>
    <t>I126</t>
  </si>
  <si>
    <t>I127</t>
  </si>
  <si>
    <t>I128</t>
  </si>
  <si>
    <t>I129</t>
  </si>
  <si>
    <t>I130</t>
  </si>
  <si>
    <t>I131</t>
  </si>
  <si>
    <t>I132</t>
  </si>
  <si>
    <t>I133</t>
  </si>
  <si>
    <t>I134</t>
  </si>
  <si>
    <t>I135</t>
  </si>
  <si>
    <t>I136</t>
  </si>
  <si>
    <t>I137</t>
  </si>
  <si>
    <t>I138</t>
  </si>
  <si>
    <t>I139</t>
  </si>
  <si>
    <t>I140</t>
  </si>
  <si>
    <t>I141</t>
  </si>
  <si>
    <t>I142</t>
  </si>
  <si>
    <t>I143</t>
  </si>
  <si>
    <t>I144</t>
  </si>
  <si>
    <t>I145</t>
  </si>
  <si>
    <t>I146</t>
  </si>
  <si>
    <t>I147</t>
  </si>
  <si>
    <t>I148</t>
  </si>
  <si>
    <t>I149</t>
  </si>
  <si>
    <t>I150</t>
  </si>
  <si>
    <t>I151</t>
  </si>
  <si>
    <t>I152</t>
  </si>
  <si>
    <t>I153</t>
  </si>
  <si>
    <t>I154</t>
  </si>
  <si>
    <t>I155</t>
  </si>
  <si>
    <t>I156</t>
  </si>
  <si>
    <t>I157</t>
  </si>
  <si>
    <t>I158</t>
  </si>
  <si>
    <t>I159</t>
  </si>
  <si>
    <t>I160</t>
  </si>
  <si>
    <t>I161</t>
  </si>
  <si>
    <t>I162</t>
  </si>
  <si>
    <t>I163</t>
  </si>
  <si>
    <t>I164</t>
  </si>
  <si>
    <t>I165</t>
  </si>
  <si>
    <t>I166</t>
  </si>
  <si>
    <t>I167</t>
  </si>
  <si>
    <t>I168</t>
  </si>
  <si>
    <t>I169</t>
  </si>
  <si>
    <t>I170</t>
  </si>
  <si>
    <t>I171</t>
  </si>
  <si>
    <t>I172</t>
  </si>
  <si>
    <t>I173</t>
  </si>
  <si>
    <t>I174</t>
  </si>
  <si>
    <t>I175</t>
  </si>
  <si>
    <t>I176</t>
  </si>
  <si>
    <t>I177</t>
  </si>
  <si>
    <t>I178</t>
  </si>
  <si>
    <t>I179</t>
  </si>
  <si>
    <t>I180</t>
  </si>
  <si>
    <t>I181</t>
  </si>
  <si>
    <t>I182</t>
  </si>
  <si>
    <t>I183</t>
  </si>
  <si>
    <t>I184</t>
  </si>
  <si>
    <t>I185</t>
  </si>
  <si>
    <t>I186</t>
  </si>
  <si>
    <t>I187</t>
  </si>
  <si>
    <t>I188</t>
  </si>
  <si>
    <t>I189</t>
  </si>
  <si>
    <t>I190</t>
  </si>
  <si>
    <t>I191</t>
  </si>
  <si>
    <t>I192</t>
  </si>
  <si>
    <t>I193</t>
  </si>
  <si>
    <t>I194</t>
  </si>
  <si>
    <t>I195</t>
  </si>
  <si>
    <t>I196</t>
  </si>
  <si>
    <t>I197</t>
  </si>
  <si>
    <t>I198</t>
  </si>
  <si>
    <t>I199</t>
  </si>
  <si>
    <t>Abc Ltd</t>
  </si>
  <si>
    <t>Xyz Ltd</t>
  </si>
  <si>
    <t>Wh1</t>
  </si>
  <si>
    <t>Wh2</t>
  </si>
  <si>
    <t>Wh3</t>
  </si>
  <si>
    <t>Wh4</t>
  </si>
  <si>
    <t>Wh5</t>
  </si>
  <si>
    <t>Wh6</t>
  </si>
  <si>
    <t>Wh7</t>
  </si>
  <si>
    <t>Wh8</t>
  </si>
  <si>
    <t>Wh9</t>
  </si>
  <si>
    <t>Wh10</t>
  </si>
  <si>
    <t>Wh11</t>
  </si>
  <si>
    <t>Wh12</t>
  </si>
  <si>
    <t>Wh13</t>
  </si>
  <si>
    <t>Wh14</t>
  </si>
  <si>
    <t>Wh15</t>
  </si>
  <si>
    <t>Wh16</t>
  </si>
  <si>
    <t>Wh17</t>
  </si>
  <si>
    <t>Wh18</t>
  </si>
  <si>
    <t>Wh19</t>
  </si>
  <si>
    <t>Wh20</t>
  </si>
  <si>
    <t>Wh21</t>
  </si>
  <si>
    <t>Wh22</t>
  </si>
  <si>
    <t>Wh23</t>
  </si>
  <si>
    <t>Wh24</t>
  </si>
  <si>
    <t>Wh25</t>
  </si>
  <si>
    <t>Wh26</t>
  </si>
  <si>
    <t>Wh27</t>
  </si>
  <si>
    <t>Wh28</t>
  </si>
  <si>
    <t>Wh29</t>
  </si>
  <si>
    <t>Wh30</t>
  </si>
  <si>
    <t>Wh31</t>
  </si>
  <si>
    <t>Wh32</t>
  </si>
  <si>
    <t>Wh33</t>
  </si>
  <si>
    <t>Wh34</t>
  </si>
  <si>
    <t>Wh35</t>
  </si>
  <si>
    <t>Wh36</t>
  </si>
  <si>
    <t>Wh37</t>
  </si>
  <si>
    <t>Wh38</t>
  </si>
  <si>
    <t>Wh39</t>
  </si>
  <si>
    <t>Wh40</t>
  </si>
  <si>
    <t>Wh41</t>
  </si>
  <si>
    <t>Wh42</t>
  </si>
  <si>
    <t>Wh43</t>
  </si>
  <si>
    <t>Wh44</t>
  </si>
  <si>
    <t>Wh45</t>
  </si>
  <si>
    <t>Wh46</t>
  </si>
  <si>
    <t>Wh47</t>
  </si>
  <si>
    <t>Wh48</t>
  </si>
  <si>
    <t>Wh49</t>
  </si>
  <si>
    <t>Wh50</t>
  </si>
  <si>
    <t>Wh51</t>
  </si>
  <si>
    <t>Wh52</t>
  </si>
  <si>
    <t>Wh53</t>
  </si>
  <si>
    <t>Wh54</t>
  </si>
  <si>
    <t>Wh55</t>
  </si>
  <si>
    <t>Wh56</t>
  </si>
  <si>
    <t>Wh57</t>
  </si>
  <si>
    <t>Wh58</t>
  </si>
  <si>
    <t>Wh59</t>
  </si>
  <si>
    <t>Wh60</t>
  </si>
  <si>
    <t>Wh61</t>
  </si>
  <si>
    <t>Wh62</t>
  </si>
  <si>
    <t>Wh63</t>
  </si>
  <si>
    <t>Wh64</t>
  </si>
  <si>
    <t>Wh65</t>
  </si>
  <si>
    <t>Wh66</t>
  </si>
  <si>
    <t>Wh67</t>
  </si>
  <si>
    <t>Wh68</t>
  </si>
  <si>
    <t>Wh69</t>
  </si>
  <si>
    <t>Wh70</t>
  </si>
  <si>
    <t>Wh71</t>
  </si>
  <si>
    <t>Wh72</t>
  </si>
  <si>
    <t>Wh73</t>
  </si>
  <si>
    <t>Wh74</t>
  </si>
  <si>
    <t>Wh75</t>
  </si>
  <si>
    <t>Wh76</t>
  </si>
  <si>
    <t>Wh77</t>
  </si>
  <si>
    <t>Wh78</t>
  </si>
  <si>
    <t>Wh79</t>
  </si>
  <si>
    <t>Wh80</t>
  </si>
  <si>
    <t>Wh81</t>
  </si>
  <si>
    <t>Wh82</t>
  </si>
  <si>
    <t>Wh83</t>
  </si>
  <si>
    <t>Wh84</t>
  </si>
  <si>
    <t>Wh85</t>
  </si>
  <si>
    <t>Wh86</t>
  </si>
  <si>
    <t>Wh87</t>
  </si>
  <si>
    <t>Wh88</t>
  </si>
  <si>
    <t>Wh89</t>
  </si>
  <si>
    <t>Wh90</t>
  </si>
  <si>
    <t>Wh91</t>
  </si>
  <si>
    <t>Wh92</t>
  </si>
  <si>
    <t>Wh93</t>
  </si>
  <si>
    <t>Wh94</t>
  </si>
  <si>
    <t>Wh95</t>
  </si>
  <si>
    <t>Wh96</t>
  </si>
  <si>
    <t>Wh97</t>
  </si>
  <si>
    <t>Wh98</t>
  </si>
  <si>
    <t>Wh99</t>
  </si>
  <si>
    <t>Wh100</t>
  </si>
  <si>
    <t>Wh101</t>
  </si>
  <si>
    <t>Wh102</t>
  </si>
  <si>
    <t>Wh103</t>
  </si>
  <si>
    <t>Wh104</t>
  </si>
  <si>
    <t>Wh105</t>
  </si>
  <si>
    <t>Wh106</t>
  </si>
  <si>
    <t>Wh107</t>
  </si>
  <si>
    <t>Wh108</t>
  </si>
  <si>
    <t>Wh109</t>
  </si>
  <si>
    <t>Wh110</t>
  </si>
  <si>
    <t>Wh111</t>
  </si>
  <si>
    <t>Wh112</t>
  </si>
  <si>
    <t>Wh113</t>
  </si>
  <si>
    <t>Wh114</t>
  </si>
  <si>
    <t>Wh115</t>
  </si>
  <si>
    <t>Wh116</t>
  </si>
  <si>
    <t>Wh117</t>
  </si>
  <si>
    <t>Wh118</t>
  </si>
  <si>
    <t>Wh119</t>
  </si>
  <si>
    <t>Wh120</t>
  </si>
  <si>
    <t>Wh121</t>
  </si>
  <si>
    <t>Wh122</t>
  </si>
  <si>
    <t>Wh123</t>
  </si>
  <si>
    <t>Wh124</t>
  </si>
  <si>
    <t>Wh125</t>
  </si>
  <si>
    <t>Wh126</t>
  </si>
  <si>
    <t>Wh127</t>
  </si>
  <si>
    <t>Wh128</t>
  </si>
  <si>
    <t>Wh129</t>
  </si>
  <si>
    <t>Wh130</t>
  </si>
  <si>
    <t>Wh131</t>
  </si>
  <si>
    <t>Wh132</t>
  </si>
  <si>
    <t>Wh133</t>
  </si>
  <si>
    <t>Wh134</t>
  </si>
  <si>
    <t>Wh135</t>
  </si>
  <si>
    <t>Wh136</t>
  </si>
  <si>
    <t>Wh137</t>
  </si>
  <si>
    <t>Wh138</t>
  </si>
  <si>
    <t>Wh139</t>
  </si>
  <si>
    <t>Wh140</t>
  </si>
  <si>
    <t>Wh141</t>
  </si>
  <si>
    <t>Wh142</t>
  </si>
  <si>
    <t>Wh143</t>
  </si>
  <si>
    <t>Wh144</t>
  </si>
  <si>
    <t>Wh145</t>
  </si>
  <si>
    <t>Wh146</t>
  </si>
  <si>
    <t>Wh147</t>
  </si>
  <si>
    <t>Wh148</t>
  </si>
  <si>
    <t>Wh149</t>
  </si>
  <si>
    <t>Wh150</t>
  </si>
  <si>
    <t>Wh151</t>
  </si>
  <si>
    <t>Wh152</t>
  </si>
  <si>
    <t>Wh153</t>
  </si>
  <si>
    <t>Wh154</t>
  </si>
  <si>
    <t>Wh155</t>
  </si>
  <si>
    <t>Wh156</t>
  </si>
  <si>
    <t>Wh157</t>
  </si>
  <si>
    <t>Wh158</t>
  </si>
  <si>
    <t>Wh159</t>
  </si>
  <si>
    <t>Wh160</t>
  </si>
  <si>
    <t>Wh161</t>
  </si>
  <si>
    <t>Wh162</t>
  </si>
  <si>
    <t>Wh163</t>
  </si>
  <si>
    <t>Wh164</t>
  </si>
  <si>
    <t>Wh165</t>
  </si>
  <si>
    <t>Wh166</t>
  </si>
  <si>
    <t>Wh167</t>
  </si>
  <si>
    <t>Wh168</t>
  </si>
  <si>
    <t>Wh169</t>
  </si>
  <si>
    <t>Wh170</t>
  </si>
  <si>
    <t>Wh171</t>
  </si>
  <si>
    <t>Wh172</t>
  </si>
  <si>
    <t>Wh173</t>
  </si>
  <si>
    <t>Wh174</t>
  </si>
  <si>
    <t>Wh175</t>
  </si>
  <si>
    <t>Wh176</t>
  </si>
  <si>
    <t>Wh177</t>
  </si>
  <si>
    <t>Wh178</t>
  </si>
  <si>
    <t>Wh179</t>
  </si>
  <si>
    <t>Wh180</t>
  </si>
  <si>
    <t>Wh181</t>
  </si>
  <si>
    <t>Wh182</t>
  </si>
  <si>
    <t>Wh183</t>
  </si>
  <si>
    <t>Wh184</t>
  </si>
  <si>
    <t>Wh185</t>
  </si>
  <si>
    <t>Wh186</t>
  </si>
  <si>
    <t>Wh187</t>
  </si>
  <si>
    <t>Wh188</t>
  </si>
  <si>
    <t>Wh189</t>
  </si>
  <si>
    <t>Wh190</t>
  </si>
  <si>
    <t>Wh191</t>
  </si>
  <si>
    <t>Wh192</t>
  </si>
  <si>
    <t>Wh193</t>
  </si>
  <si>
    <t>Wh194</t>
  </si>
  <si>
    <t>Wh195</t>
  </si>
  <si>
    <t>Wh196</t>
  </si>
  <si>
    <t>Wh197</t>
  </si>
  <si>
    <t>Wh198</t>
  </si>
  <si>
    <t>Wh199</t>
  </si>
  <si>
    <t>Stock_Status</t>
  </si>
  <si>
    <t>Inventory_Turnover</t>
  </si>
  <si>
    <t>Count of Item_ID</t>
  </si>
  <si>
    <t>Average of Lead_Time_Days</t>
  </si>
  <si>
    <t>Average of Inventory_Turnover</t>
  </si>
  <si>
    <t>Row Labels</t>
  </si>
  <si>
    <t>Grand Total</t>
  </si>
  <si>
    <t>Sum of Current_Stock</t>
  </si>
  <si>
    <t xml:space="preserve"> Inventory supply chain dashboard</t>
  </si>
  <si>
    <t>Overstock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</si>
</sst>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sz val="11"/>
      <color theme="0"/>
      <name val="Calibri"/>
      <family val="2"/>
      <scheme val="minor"/>
    </font>
    <font>
      <b/>
      <sz val="22"/>
      <name val="Calibri"/>
      <family val="2"/>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3" fillId="2" borderId="0" xfId="0" applyFont="1" applyFill="1"/>
    <xf numFmtId="0" fontId="4" fillId="2" borderId="0" xfId="0" applyFont="1" applyFill="1"/>
    <xf numFmtId="0" fontId="5"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[Inventory^120^15e0^120Supply^120Chain^120Performance^120Dashboard (Recovered).xlsx]Analysis_Pivots!PivotTable7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3517427454436E-2"/>
          <c:y val="0.24658143438783928"/>
          <c:w val="0.70133711432924029"/>
          <c:h val="0.41197100804095599"/>
        </c:manualLayout>
      </c:layout>
      <c:barChart>
        <c:barDir val="col"/>
        <c:grouping val="clustered"/>
        <c:varyColors val="0"/>
        <c:ser>
          <c:idx val="0"/>
          <c:order val="0"/>
          <c:tx>
            <c:strRef>
              <c:f>Analysis_Pivots!$H$1</c:f>
              <c:strCache>
                <c:ptCount val="1"/>
                <c:pt idx="0">
                  <c:v>Total</c:v>
                </c:pt>
              </c:strCache>
            </c:strRef>
          </c:tx>
          <c:spPr>
            <a:solidFill>
              <a:schemeClr val="accent1"/>
            </a:solidFill>
            <a:ln>
              <a:noFill/>
            </a:ln>
            <a:effectLst/>
          </c:spPr>
          <c:invertIfNegative val="0"/>
          <c:cat>
            <c:strRef>
              <c:f>Analysis_Pivots!$G$2:$G$3</c:f>
              <c:strCache>
                <c:ptCount val="1"/>
                <c:pt idx="0">
                  <c:v>Wh103</c:v>
                </c:pt>
              </c:strCache>
            </c:strRef>
          </c:cat>
          <c:val>
            <c:numRef>
              <c:f>Analysis_Pivots!$H$2:$H$3</c:f>
              <c:numCache>
                <c:formatCode>General</c:formatCode>
                <c:ptCount val="1"/>
                <c:pt idx="0">
                  <c:v>13310</c:v>
                </c:pt>
              </c:numCache>
            </c:numRef>
          </c:val>
          <c:extLst>
            <c:ext xmlns:c16="http://schemas.microsoft.com/office/drawing/2014/chart" uri="{C3380CC4-5D6E-409C-BE32-E72D297353CC}">
              <c16:uniqueId val="{00000000-C4D5-4781-BEBE-A63E65F52352}"/>
            </c:ext>
          </c:extLst>
        </c:ser>
        <c:dLbls>
          <c:showLegendKey val="0"/>
          <c:showVal val="0"/>
          <c:showCatName val="0"/>
          <c:showSerName val="0"/>
          <c:showPercent val="0"/>
          <c:showBubbleSize val="0"/>
        </c:dLbls>
        <c:gapWidth val="219"/>
        <c:overlap val="-27"/>
        <c:axId val="174362239"/>
        <c:axId val="368467967"/>
      </c:barChart>
      <c:catAx>
        <c:axId val="17436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467967"/>
        <c:crosses val="autoZero"/>
        <c:auto val="1"/>
        <c:lblAlgn val="ctr"/>
        <c:lblOffset val="100"/>
        <c:noMultiLvlLbl val="0"/>
      </c:catAx>
      <c:valAx>
        <c:axId val="368467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[Inventory^120^15e0^120Supply^120Chain^120Performance^120Dashboard (Recovered).xlsx]Analysis_Pivots!PivotTable6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Analysis_Pivots!$E$1</c:f>
              <c:strCache>
                <c:ptCount val="1"/>
                <c:pt idx="0">
                  <c:v>Total</c:v>
                </c:pt>
              </c:strCache>
            </c:strRef>
          </c:tx>
          <c:spPr>
            <a:solidFill>
              <a:schemeClr val="accent1"/>
            </a:solidFill>
            <a:ln>
              <a:noFill/>
            </a:ln>
            <a:effectLst/>
          </c:spPr>
          <c:invertIfNegative val="0"/>
          <c:cat>
            <c:strRef>
              <c:f>Analysis_Pivots!$D$2:$D$3</c:f>
              <c:strCache>
                <c:ptCount val="1"/>
                <c:pt idx="0">
                  <c:v>Electronics</c:v>
                </c:pt>
              </c:strCache>
            </c:strRef>
          </c:cat>
          <c:val>
            <c:numRef>
              <c:f>Analysis_Pivots!$E$2:$E$3</c:f>
              <c:numCache>
                <c:formatCode>General</c:formatCode>
                <c:ptCount val="1"/>
                <c:pt idx="0">
                  <c:v>13310</c:v>
                </c:pt>
              </c:numCache>
            </c:numRef>
          </c:val>
          <c:extLst>
            <c:ext xmlns:c16="http://schemas.microsoft.com/office/drawing/2014/chart" uri="{C3380CC4-5D6E-409C-BE32-E72D297353CC}">
              <c16:uniqueId val="{00000000-617C-4B40-8220-3EE5A32671D5}"/>
            </c:ext>
          </c:extLst>
        </c:ser>
        <c:dLbls>
          <c:showLegendKey val="0"/>
          <c:showVal val="0"/>
          <c:showCatName val="0"/>
          <c:showSerName val="0"/>
          <c:showPercent val="0"/>
          <c:showBubbleSize val="0"/>
        </c:dLbls>
        <c:gapWidth val="182"/>
        <c:axId val="1910808559"/>
        <c:axId val="1910807119"/>
      </c:barChart>
      <c:catAx>
        <c:axId val="1910808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807119"/>
        <c:crosses val="autoZero"/>
        <c:auto val="1"/>
        <c:lblAlgn val="ctr"/>
        <c:lblOffset val="100"/>
        <c:noMultiLvlLbl val="0"/>
      </c:catAx>
      <c:valAx>
        <c:axId val="1910807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80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[Inventory^120^15e0^120Supply^120Chain^120Performance^120Dashboard (Recovered).xlsx]Analysis_Pivots!PivotTable5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Analysis_Pivots!$B$1</c:f>
              <c:strCache>
                <c:ptCount val="1"/>
                <c:pt idx="0">
                  <c:v>Total</c:v>
                </c:pt>
              </c:strCache>
            </c:strRef>
          </c:tx>
          <c:explosion val="1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C2-4EF9-AE89-9FF228D7DA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C2-4EF9-AE89-9FF228D7DA6C}"/>
              </c:ext>
            </c:extLst>
          </c:dPt>
          <c:cat>
            <c:strRef>
              <c:f>Analysis_Pivots!$A$2:$A$3</c:f>
              <c:strCache>
                <c:ptCount val="1"/>
                <c:pt idx="0">
                  <c:v>Overstock</c:v>
                </c:pt>
              </c:strCache>
            </c:strRef>
          </c:cat>
          <c:val>
            <c:numRef>
              <c:f>Analysis_Pivots!$B$2:$B$3</c:f>
              <c:numCache>
                <c:formatCode>General</c:formatCode>
                <c:ptCount val="1"/>
                <c:pt idx="0">
                  <c:v>1</c:v>
                </c:pt>
              </c:numCache>
            </c:numRef>
          </c:val>
          <c:extLst>
            <c:ext xmlns:c16="http://schemas.microsoft.com/office/drawing/2014/chart" uri="{C3380CC4-5D6E-409C-BE32-E72D297353CC}">
              <c16:uniqueId val="{00000004-3FC2-4EF9-AE89-9FF228D7DA6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106680</xdr:colOff>
      <xdr:row>5</xdr:row>
      <xdr:rowOff>0</xdr:rowOff>
    </xdr:from>
    <xdr:to>
      <xdr:col>3</xdr:col>
      <xdr:colOff>106680</xdr:colOff>
      <xdr:row>7</xdr:row>
      <xdr:rowOff>167640</xdr:rowOff>
    </xdr:to>
    <xdr:sp macro="" textlink="B4">
      <xdr:nvSpPr>
        <xdr:cNvPr id="2" name="Rectangle: Rounded Corners 1">
          <a:extLst>
            <a:ext uri="{FF2B5EF4-FFF2-40B4-BE49-F238E27FC236}">
              <a16:creationId xmlns:a16="http://schemas.microsoft.com/office/drawing/2014/main" id="{BD9F65CF-1960-4D4E-EB27-AF51696F3C7A}"/>
            </a:ext>
          </a:extLst>
        </xdr:cNvPr>
        <xdr:cNvSpPr/>
      </xdr:nvSpPr>
      <xdr:spPr>
        <a:xfrm>
          <a:off x="716280" y="914400"/>
          <a:ext cx="1219200" cy="533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B39CCF2E-D836-462E-9BFE-5D90D3C13EE5}" type="TxLink">
            <a:rPr lang="en-US" sz="1100" b="0" i="0" u="none" strike="noStrike">
              <a:solidFill>
                <a:srgbClr val="000000"/>
              </a:solidFill>
              <a:latin typeface="Calibri"/>
              <a:ea typeface="Calibri"/>
              <a:cs typeface="Calibri"/>
            </a:rPr>
            <a:t>99</a:t>
          </a:fld>
          <a:endParaRPr lang="en-IN" sz="1100"/>
        </a:p>
      </xdr:txBody>
    </xdr:sp>
    <xdr:clientData/>
  </xdr:twoCellAnchor>
  <xdr:twoCellAnchor>
    <xdr:from>
      <xdr:col>1</xdr:col>
      <xdr:colOff>68580</xdr:colOff>
      <xdr:row>9</xdr:row>
      <xdr:rowOff>144780</xdr:rowOff>
    </xdr:from>
    <xdr:to>
      <xdr:col>3</xdr:col>
      <xdr:colOff>68580</xdr:colOff>
      <xdr:row>12</xdr:row>
      <xdr:rowOff>129540</xdr:rowOff>
    </xdr:to>
    <xdr:sp macro="" textlink="C3">
      <xdr:nvSpPr>
        <xdr:cNvPr id="3" name="Rectangle: Rounded Corners 2">
          <a:extLst>
            <a:ext uri="{FF2B5EF4-FFF2-40B4-BE49-F238E27FC236}">
              <a16:creationId xmlns:a16="http://schemas.microsoft.com/office/drawing/2014/main" id="{55710951-9E94-4185-858B-263FEBE8FFF2}"/>
            </a:ext>
          </a:extLst>
        </xdr:cNvPr>
        <xdr:cNvSpPr/>
      </xdr:nvSpPr>
      <xdr:spPr>
        <a:xfrm>
          <a:off x="678180" y="1790700"/>
          <a:ext cx="1219200" cy="533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41214A2F-E099-4F69-AC4C-CA5B14248FCE}" type="TxLink">
            <a:rPr lang="en-US" sz="1100" b="0" i="0" u="none" strike="noStrike">
              <a:solidFill>
                <a:srgbClr val="000000"/>
              </a:solidFill>
              <a:latin typeface="Calibri"/>
              <a:ea typeface="Calibri"/>
              <a:cs typeface="Calibri"/>
            </a:rPr>
            <a:t>99</a:t>
          </a:fld>
          <a:endParaRPr lang="en-IN" sz="1100"/>
        </a:p>
      </xdr:txBody>
    </xdr:sp>
    <xdr:clientData/>
  </xdr:twoCellAnchor>
  <xdr:twoCellAnchor>
    <xdr:from>
      <xdr:col>1</xdr:col>
      <xdr:colOff>76200</xdr:colOff>
      <xdr:row>14</xdr:row>
      <xdr:rowOff>129540</xdr:rowOff>
    </xdr:from>
    <xdr:to>
      <xdr:col>3</xdr:col>
      <xdr:colOff>76200</xdr:colOff>
      <xdr:row>17</xdr:row>
      <xdr:rowOff>114300</xdr:rowOff>
    </xdr:to>
    <xdr:sp macro="" textlink="E24">
      <xdr:nvSpPr>
        <xdr:cNvPr id="4" name="Rectangle: Rounded Corners 3">
          <a:extLst>
            <a:ext uri="{FF2B5EF4-FFF2-40B4-BE49-F238E27FC236}">
              <a16:creationId xmlns:a16="http://schemas.microsoft.com/office/drawing/2014/main" id="{02E1E76E-809C-461A-B0EB-4D701D226F36}"/>
            </a:ext>
          </a:extLst>
        </xdr:cNvPr>
        <xdr:cNvSpPr/>
      </xdr:nvSpPr>
      <xdr:spPr>
        <a:xfrm>
          <a:off x="685800" y="2689860"/>
          <a:ext cx="1219200" cy="533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977B3FE3-1A00-4E19-9EB3-12887E53BEB1}" type="TxLink">
            <a:rPr lang="en-US" sz="1100" b="0" i="0" u="none" strike="noStrike">
              <a:solidFill>
                <a:srgbClr val="000000"/>
              </a:solidFill>
              <a:latin typeface="Calibri"/>
              <a:ea typeface="Calibri"/>
              <a:cs typeface="Calibri"/>
            </a:rPr>
            <a:t>1</a:t>
          </a:fld>
          <a:endParaRPr lang="en-IN" sz="1100"/>
        </a:p>
      </xdr:txBody>
    </xdr:sp>
    <xdr:clientData/>
  </xdr:twoCellAnchor>
  <xdr:twoCellAnchor>
    <xdr:from>
      <xdr:col>0</xdr:col>
      <xdr:colOff>601980</xdr:colOff>
      <xdr:row>20</xdr:row>
      <xdr:rowOff>91440</xdr:rowOff>
    </xdr:from>
    <xdr:to>
      <xdr:col>2</xdr:col>
      <xdr:colOff>601980</xdr:colOff>
      <xdr:row>23</xdr:row>
      <xdr:rowOff>76200</xdr:rowOff>
    </xdr:to>
    <xdr:sp macro="" textlink="G24">
      <xdr:nvSpPr>
        <xdr:cNvPr id="5" name="Rectangle: Rounded Corners 4">
          <a:extLst>
            <a:ext uri="{FF2B5EF4-FFF2-40B4-BE49-F238E27FC236}">
              <a16:creationId xmlns:a16="http://schemas.microsoft.com/office/drawing/2014/main" id="{E687097B-BDA0-433B-BDCD-BBDBD8721040}"/>
            </a:ext>
          </a:extLst>
        </xdr:cNvPr>
        <xdr:cNvSpPr/>
      </xdr:nvSpPr>
      <xdr:spPr>
        <a:xfrm>
          <a:off x="601980" y="3749040"/>
          <a:ext cx="1219200" cy="533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BC9B8765-991C-4F1F-A54F-F9E35D5612E5}" type="TxLink">
            <a:rPr lang="en-US" sz="1100" b="0" i="0" u="none" strike="noStrike">
              <a:solidFill>
                <a:srgbClr val="000000"/>
              </a:solidFill>
              <a:latin typeface="Calibri"/>
              <a:ea typeface="Calibri"/>
              <a:cs typeface="Calibri"/>
            </a:rPr>
            <a:t>30</a:t>
          </a:fld>
          <a:endParaRPr lang="en-IN" sz="1100"/>
        </a:p>
      </xdr:txBody>
    </xdr:sp>
    <xdr:clientData/>
  </xdr:twoCellAnchor>
  <xdr:twoCellAnchor>
    <xdr:from>
      <xdr:col>14</xdr:col>
      <xdr:colOff>373380</xdr:colOff>
      <xdr:row>3</xdr:row>
      <xdr:rowOff>99060</xdr:rowOff>
    </xdr:from>
    <xdr:to>
      <xdr:col>19</xdr:col>
      <xdr:colOff>594360</xdr:colOff>
      <xdr:row>15</xdr:row>
      <xdr:rowOff>60960</xdr:rowOff>
    </xdr:to>
    <xdr:graphicFrame macro="">
      <xdr:nvGraphicFramePr>
        <xdr:cNvPr id="6" name="Chart 5">
          <a:extLst>
            <a:ext uri="{FF2B5EF4-FFF2-40B4-BE49-F238E27FC236}">
              <a16:creationId xmlns:a16="http://schemas.microsoft.com/office/drawing/2014/main" id="{B93D3B67-5C59-422D-A53E-D134B0F15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434340</xdr:colOff>
      <xdr:row>3</xdr:row>
      <xdr:rowOff>38100</xdr:rowOff>
    </xdr:from>
    <xdr:to>
      <xdr:col>14</xdr:col>
      <xdr:colOff>190500</xdr:colOff>
      <xdr:row>16</xdr:row>
      <xdr:rowOff>15240</xdr:rowOff>
    </xdr:to>
    <xdr:graphicFrame macro="">
      <xdr:nvGraphicFramePr>
        <xdr:cNvPr id="7" name="Chart 6">
          <a:extLst>
            <a:ext uri="{FF2B5EF4-FFF2-40B4-BE49-F238E27FC236}">
              <a16:creationId xmlns:a16="http://schemas.microsoft.com/office/drawing/2014/main" id="{47E9B656-86BE-4E3A-A608-FE2A45004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281940</xdr:colOff>
      <xdr:row>3</xdr:row>
      <xdr:rowOff>30480</xdr:rowOff>
    </xdr:from>
    <xdr:to>
      <xdr:col>9</xdr:col>
      <xdr:colOff>281940</xdr:colOff>
      <xdr:row>15</xdr:row>
      <xdr:rowOff>167640</xdr:rowOff>
    </xdr:to>
    <xdr:graphicFrame macro="">
      <xdr:nvGraphicFramePr>
        <xdr:cNvPr id="8" name="Chart 7">
          <a:extLst>
            <a:ext uri="{FF2B5EF4-FFF2-40B4-BE49-F238E27FC236}">
              <a16:creationId xmlns:a16="http://schemas.microsoft.com/office/drawing/2014/main" id="{41DD2E47-51EB-459D-9F7B-3BCC7A699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396240</xdr:colOff>
      <xdr:row>17</xdr:row>
      <xdr:rowOff>38101</xdr:rowOff>
    </xdr:from>
    <xdr:to>
      <xdr:col>10</xdr:col>
      <xdr:colOff>396240</xdr:colOff>
      <xdr:row>21</xdr:row>
      <xdr:rowOff>68581</xdr:rowOff>
    </xdr:to>
    <mc:AlternateContent xmlns:mc="http://schemas.openxmlformats.org/markup-compatibility/2006" xmlns:a14="http://schemas.microsoft.com/office/drawing/2010/main">
      <mc:Choice Requires="a14">
        <xdr:graphicFrame macro="">
          <xdr:nvGraphicFramePr>
            <xdr:cNvPr id="9" name="Supplier">
              <a:extLst>
                <a:ext uri="{FF2B5EF4-FFF2-40B4-BE49-F238E27FC236}">
                  <a16:creationId xmlns:a16="http://schemas.microsoft.com/office/drawing/2014/main" id="{A8027D9F-A32E-4117-A40F-21A0D8EEF329}"/>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4663440" y="3329941"/>
              <a:ext cx="1828800"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510540</xdr:colOff>
      <xdr:row>16</xdr:row>
      <xdr:rowOff>91440</xdr:rowOff>
    </xdr:from>
    <xdr:to>
      <xdr:col>22</xdr:col>
      <xdr:colOff>586740</xdr:colOff>
      <xdr:row>25</xdr:row>
      <xdr:rowOff>5715</xdr:rowOff>
    </xdr:to>
    <mc:AlternateContent xmlns:mc="http://schemas.openxmlformats.org/markup-compatibility/2006" xmlns:a14="http://schemas.microsoft.com/office/drawing/2010/main">
      <mc:Choice Requires="a14">
        <xdr:graphicFrame macro="">
          <xdr:nvGraphicFramePr>
            <xdr:cNvPr id="10" name="Warehouse">
              <a:extLst>
                <a:ext uri="{FF2B5EF4-FFF2-40B4-BE49-F238E27FC236}">
                  <a16:creationId xmlns:a16="http://schemas.microsoft.com/office/drawing/2014/main" id="{004A6C9E-BF6B-491D-A52D-F92484E31DB9}"/>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9044940" y="3200400"/>
              <a:ext cx="4953000" cy="1560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175260</xdr:colOff>
      <xdr:row>17</xdr:row>
      <xdr:rowOff>53341</xdr:rowOff>
    </xdr:from>
    <xdr:to>
      <xdr:col>7</xdr:col>
      <xdr:colOff>175260</xdr:colOff>
      <xdr:row>20</xdr:row>
      <xdr:rowOff>160020</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62E3B027-16FC-4E15-89EC-16AA19ACFFE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13660" y="3345181"/>
              <a:ext cx="1828800" cy="655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60960</xdr:colOff>
      <xdr:row>17</xdr:row>
      <xdr:rowOff>30481</xdr:rowOff>
    </xdr:from>
    <xdr:to>
      <xdr:col>14</xdr:col>
      <xdr:colOff>60960</xdr:colOff>
      <xdr:row>21</xdr:row>
      <xdr:rowOff>137161</xdr:rowOff>
    </xdr:to>
    <mc:AlternateContent xmlns:mc="http://schemas.openxmlformats.org/markup-compatibility/2006" xmlns:a14="http://schemas.microsoft.com/office/drawing/2010/main">
      <mc:Choice Requires="a14">
        <xdr:graphicFrame macro="">
          <xdr:nvGraphicFramePr>
            <xdr:cNvPr id="15" name="Stock_Status">
              <a:extLst>
                <a:ext uri="{FF2B5EF4-FFF2-40B4-BE49-F238E27FC236}">
                  <a16:creationId xmlns:a16="http://schemas.microsoft.com/office/drawing/2014/main" id="{B03EC56E-E99D-466B-9E04-3E198C5D2D9A}"/>
                </a:ext>
              </a:extLst>
            </xdr:cNvPr>
            <xdr:cNvGraphicFramePr/>
          </xdr:nvGraphicFramePr>
          <xdr:xfrm>
            <a:off x="0" y="0"/>
            <a:ext cx="0" cy="0"/>
          </xdr:xfrm>
          <a:graphic>
            <a:graphicData uri="http://schemas.microsoft.com/office/drawing/2010/slicer">
              <sle:slicer xmlns:sle="http://schemas.microsoft.com/office/drawing/2010/slicer" name="Stock_Status"/>
            </a:graphicData>
          </a:graphic>
        </xdr:graphicFrame>
      </mc:Choice>
      <mc:Fallback xmlns="">
        <xdr:sp macro="" textlink="">
          <xdr:nvSpPr>
            <xdr:cNvPr id="0" name=""/>
            <xdr:cNvSpPr>
              <a:spLocks noTextEdit="1"/>
            </xdr:cNvSpPr>
          </xdr:nvSpPr>
          <xdr:spPr>
            <a:xfrm>
              <a:off x="6766560" y="3322321"/>
              <a:ext cx="182880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312420</xdr:colOff>
      <xdr:row>2</xdr:row>
      <xdr:rowOff>99060</xdr:rowOff>
    </xdr:from>
    <xdr:to>
      <xdr:col>22</xdr:col>
      <xdr:colOff>571500</xdr:colOff>
      <xdr:row>14</xdr:row>
      <xdr:rowOff>114300</xdr:rowOff>
    </xdr:to>
    <xdr:sp macro="" textlink="">
      <xdr:nvSpPr>
        <xdr:cNvPr id="11" name="Rectangle 10">
          <a:extLst>
            <a:ext uri="{FF2B5EF4-FFF2-40B4-BE49-F238E27FC236}">
              <a16:creationId xmlns:a16="http://schemas.microsoft.com/office/drawing/2014/main" id="{97CBBAD0-6199-9567-0D3C-445291B12A04}"/>
            </a:ext>
          </a:extLst>
        </xdr:cNvPr>
        <xdr:cNvSpPr/>
      </xdr:nvSpPr>
      <xdr:spPr>
        <a:xfrm>
          <a:off x="12504420" y="647700"/>
          <a:ext cx="1478280" cy="22098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 Electronics category shows frequent understock issues, indicating higher demand or insufficient replenishment.• Overstock is concentrated in specific warehouses, suggesting uneven stock distribution.• Optimal stock levels are achieved more consistently in fast-moving product categories.• Inventory turnover is higher for products with balanced stock-in and stock-out levels.• Supplier and warehouse-level filtering highlights opportunities to improve inventory planning and reduce holding costs.</a:t>
          </a:r>
          <a:endParaRPr lang="en-IN">
            <a:effectLst/>
          </a:endParaRP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6031.843837152781" createdVersion="8" refreshedVersion="8" minRefreshableVersion="3" recordCount="199" xr:uid="{F97594D7-88FC-4812-BA8B-1B97D3047FE3}">
  <cacheSource type="worksheet">
    <worksheetSource ref="A1:L200" sheet="Sheet1"/>
  </cacheSource>
  <cacheFields count="12">
    <cacheField name="Item_ID" numFmtId="0">
      <sharedItems/>
    </cacheField>
    <cacheField name="Product" numFmtId="0">
      <sharedItems/>
    </cacheField>
    <cacheField name="Category" numFmtId="0">
      <sharedItems count="2">
        <s v="Electronics"/>
        <s v="Furniture"/>
      </sharedItems>
    </cacheField>
    <cacheField name="Supplier" numFmtId="0">
      <sharedItems count="2">
        <s v="Abc Ltd"/>
        <s v="Xyz Ltd"/>
      </sharedItems>
    </cacheField>
    <cacheField name="Warehouse" numFmtId="0">
      <sharedItems count="199">
        <s v="Wh1"/>
        <s v="Wh2"/>
        <s v="Wh3"/>
        <s v="Wh4"/>
        <s v="Wh5"/>
        <s v="Wh6"/>
        <s v="Wh7"/>
        <s v="Wh8"/>
        <s v="Wh9"/>
        <s v="Wh10"/>
        <s v="Wh11"/>
        <s v="Wh12"/>
        <s v="Wh13"/>
        <s v="Wh14"/>
        <s v="Wh15"/>
        <s v="Wh16"/>
        <s v="Wh17"/>
        <s v="Wh18"/>
        <s v="Wh19"/>
        <s v="Wh20"/>
        <s v="Wh21"/>
        <s v="Wh22"/>
        <s v="Wh23"/>
        <s v="Wh24"/>
        <s v="Wh25"/>
        <s v="Wh26"/>
        <s v="Wh27"/>
        <s v="Wh28"/>
        <s v="Wh29"/>
        <s v="Wh30"/>
        <s v="Wh31"/>
        <s v="Wh32"/>
        <s v="Wh33"/>
        <s v="Wh34"/>
        <s v="Wh35"/>
        <s v="Wh36"/>
        <s v="Wh37"/>
        <s v="Wh38"/>
        <s v="Wh39"/>
        <s v="Wh40"/>
        <s v="Wh41"/>
        <s v="Wh42"/>
        <s v="Wh43"/>
        <s v="Wh44"/>
        <s v="Wh45"/>
        <s v="Wh46"/>
        <s v="Wh47"/>
        <s v="Wh48"/>
        <s v="Wh49"/>
        <s v="Wh50"/>
        <s v="Wh51"/>
        <s v="Wh52"/>
        <s v="Wh53"/>
        <s v="Wh54"/>
        <s v="Wh55"/>
        <s v="Wh56"/>
        <s v="Wh57"/>
        <s v="Wh58"/>
        <s v="Wh59"/>
        <s v="Wh60"/>
        <s v="Wh61"/>
        <s v="Wh62"/>
        <s v="Wh63"/>
        <s v="Wh64"/>
        <s v="Wh65"/>
        <s v="Wh66"/>
        <s v="Wh67"/>
        <s v="Wh68"/>
        <s v="Wh69"/>
        <s v="Wh70"/>
        <s v="Wh71"/>
        <s v="Wh72"/>
        <s v="Wh73"/>
        <s v="Wh74"/>
        <s v="Wh75"/>
        <s v="Wh76"/>
        <s v="Wh77"/>
        <s v="Wh78"/>
        <s v="Wh79"/>
        <s v="Wh80"/>
        <s v="Wh81"/>
        <s v="Wh82"/>
        <s v="Wh83"/>
        <s v="Wh84"/>
        <s v="Wh85"/>
        <s v="Wh86"/>
        <s v="Wh87"/>
        <s v="Wh88"/>
        <s v="Wh89"/>
        <s v="Wh90"/>
        <s v="Wh91"/>
        <s v="Wh92"/>
        <s v="Wh93"/>
        <s v="Wh94"/>
        <s v="Wh95"/>
        <s v="Wh96"/>
        <s v="Wh97"/>
        <s v="Wh98"/>
        <s v="Wh99"/>
        <s v="Wh100"/>
        <s v="Wh101"/>
        <s v="Wh102"/>
        <s v="Wh103"/>
        <s v="Wh104"/>
        <s v="Wh105"/>
        <s v="Wh106"/>
        <s v="Wh107"/>
        <s v="Wh108"/>
        <s v="Wh109"/>
        <s v="Wh110"/>
        <s v="Wh111"/>
        <s v="Wh112"/>
        <s v="Wh113"/>
        <s v="Wh114"/>
        <s v="Wh115"/>
        <s v="Wh116"/>
        <s v="Wh117"/>
        <s v="Wh118"/>
        <s v="Wh119"/>
        <s v="Wh120"/>
        <s v="Wh121"/>
        <s v="Wh122"/>
        <s v="Wh123"/>
        <s v="Wh124"/>
        <s v="Wh125"/>
        <s v="Wh126"/>
        <s v="Wh127"/>
        <s v="Wh128"/>
        <s v="Wh129"/>
        <s v="Wh130"/>
        <s v="Wh131"/>
        <s v="Wh132"/>
        <s v="Wh133"/>
        <s v="Wh134"/>
        <s v="Wh135"/>
        <s v="Wh136"/>
        <s v="Wh137"/>
        <s v="Wh138"/>
        <s v="Wh139"/>
        <s v="Wh140"/>
        <s v="Wh141"/>
        <s v="Wh142"/>
        <s v="Wh143"/>
        <s v="Wh144"/>
        <s v="Wh145"/>
        <s v="Wh146"/>
        <s v="Wh147"/>
        <s v="Wh148"/>
        <s v="Wh149"/>
        <s v="Wh150"/>
        <s v="Wh151"/>
        <s v="Wh152"/>
        <s v="Wh153"/>
        <s v="Wh154"/>
        <s v="Wh155"/>
        <s v="Wh156"/>
        <s v="Wh157"/>
        <s v="Wh158"/>
        <s v="Wh159"/>
        <s v="Wh160"/>
        <s v="Wh161"/>
        <s v="Wh162"/>
        <s v="Wh163"/>
        <s v="Wh164"/>
        <s v="Wh165"/>
        <s v="Wh166"/>
        <s v="Wh167"/>
        <s v="Wh168"/>
        <s v="Wh169"/>
        <s v="Wh170"/>
        <s v="Wh171"/>
        <s v="Wh172"/>
        <s v="Wh173"/>
        <s v="Wh174"/>
        <s v="Wh175"/>
        <s v="Wh176"/>
        <s v="Wh177"/>
        <s v="Wh178"/>
        <s v="Wh179"/>
        <s v="Wh180"/>
        <s v="Wh181"/>
        <s v="Wh182"/>
        <s v="Wh183"/>
        <s v="Wh184"/>
        <s v="Wh185"/>
        <s v="Wh186"/>
        <s v="Wh187"/>
        <s v="Wh188"/>
        <s v="Wh189"/>
        <s v="Wh190"/>
        <s v="Wh191"/>
        <s v="Wh192"/>
        <s v="Wh193"/>
        <s v="Wh194"/>
        <s v="Wh195"/>
        <s v="Wh196"/>
        <s v="Wh197"/>
        <s v="Wh198"/>
        <s v="Wh199"/>
      </sharedItems>
    </cacheField>
    <cacheField name="Stock_In" numFmtId="0">
      <sharedItems containsSemiMixedTypes="0" containsString="0" containsNumber="1" containsInteger="1" minValue="0" maxValue="500"/>
    </cacheField>
    <cacheField name="Stock_Out" numFmtId="0">
      <sharedItems containsSemiMixedTypes="0" containsString="0" containsNumber="1" containsInteger="1" minValue="10" maxValue="450"/>
    </cacheField>
    <cacheField name="Current_Stock" numFmtId="0">
      <sharedItems containsSemiMixedTypes="0" containsString="0" containsNumber="1" containsInteger="1" minValue="50" maxValue="25790"/>
    </cacheField>
    <cacheField name="Reorder_Level" numFmtId="0">
      <sharedItems containsSemiMixedTypes="0" containsString="0" containsNumber="1" containsInteger="1" minValue="-3860" maxValue="100"/>
    </cacheField>
    <cacheField name="Lead_Time_Days" numFmtId="0">
      <sharedItems containsMixedTypes="1" containsNumber="1" containsInteger="1" minValue="14" maxValue="30"/>
    </cacheField>
    <cacheField name="Stock_Status" numFmtId="0">
      <sharedItems count="2">
        <s v="Understock"/>
        <s v="Overstock"/>
      </sharedItems>
    </cacheField>
    <cacheField name="Inventory_Turnover" numFmtId="0">
      <sharedItems containsSemiMixedTypes="0" containsString="0" containsNumber="1" minValue="0" maxValue="0.9"/>
    </cacheField>
  </cacheFields>
  <extLst>
    <ext xmlns:x14="http://schemas.microsoft.com/office/spreadsheetml/2009/9/main" uri="{725AE2AE-9491-48be-B2B4-4EB974FC3084}">
      <x14:pivotCacheDefinition pivotCacheId="666041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I001"/>
    <s v="Laptop"/>
    <x v="0"/>
    <x v="0"/>
    <x v="0"/>
    <n v="500"/>
    <n v="450"/>
    <n v="50"/>
    <n v="100"/>
    <n v="14"/>
    <x v="0"/>
    <n v="0.9"/>
  </r>
  <r>
    <s v="I002"/>
    <s v="Chair"/>
    <x v="1"/>
    <x v="1"/>
    <x v="1"/>
    <n v="300"/>
    <n v="120"/>
    <n v="180"/>
    <n v="80"/>
    <n v="21"/>
    <x v="1"/>
    <n v="0.4"/>
  </r>
  <r>
    <s v="I003"/>
    <s v="Laptop"/>
    <x v="0"/>
    <x v="0"/>
    <x v="2"/>
    <n v="100"/>
    <n v="10"/>
    <n v="310"/>
    <n v="60"/>
    <n v="28"/>
    <x v="1"/>
    <n v="0.1"/>
  </r>
  <r>
    <s v="I004"/>
    <s v="Chair"/>
    <x v="1"/>
    <x v="1"/>
    <x v="3"/>
    <n v="0"/>
    <n v="10"/>
    <n v="440"/>
    <n v="40"/>
    <n v="30"/>
    <x v="1"/>
    <n v="0"/>
  </r>
  <r>
    <s v="I005"/>
    <s v="Laptop"/>
    <x v="0"/>
    <x v="0"/>
    <x v="4"/>
    <n v="0"/>
    <n v="10"/>
    <n v="570"/>
    <n v="20"/>
    <n v="30"/>
    <x v="1"/>
    <n v="0"/>
  </r>
  <r>
    <s v="I006"/>
    <s v="Chair"/>
    <x v="1"/>
    <x v="1"/>
    <x v="5"/>
    <n v="0"/>
    <n v="10"/>
    <n v="700"/>
    <n v="0"/>
    <n v="30"/>
    <x v="1"/>
    <n v="0"/>
  </r>
  <r>
    <s v="I007"/>
    <s v="Laptop"/>
    <x v="0"/>
    <x v="0"/>
    <x v="6"/>
    <n v="0"/>
    <n v="10"/>
    <n v="830"/>
    <n v="-20"/>
    <n v="30"/>
    <x v="1"/>
    <n v="0"/>
  </r>
  <r>
    <s v="I008"/>
    <s v="Chair"/>
    <x v="1"/>
    <x v="1"/>
    <x v="7"/>
    <n v="0"/>
    <n v="10"/>
    <n v="960"/>
    <n v="-40"/>
    <n v="30"/>
    <x v="1"/>
    <n v="0"/>
  </r>
  <r>
    <s v="I009"/>
    <s v="Laptop"/>
    <x v="0"/>
    <x v="0"/>
    <x v="8"/>
    <n v="0"/>
    <n v="10"/>
    <n v="1090"/>
    <n v="-60"/>
    <n v="30"/>
    <x v="1"/>
    <n v="0"/>
  </r>
  <r>
    <s v="I010"/>
    <s v="Chair"/>
    <x v="1"/>
    <x v="1"/>
    <x v="9"/>
    <n v="0"/>
    <n v="10"/>
    <n v="1220"/>
    <n v="-80"/>
    <n v="30"/>
    <x v="1"/>
    <n v="0"/>
  </r>
  <r>
    <s v="I011"/>
    <s v="Laptop"/>
    <x v="0"/>
    <x v="0"/>
    <x v="10"/>
    <n v="0"/>
    <n v="10"/>
    <n v="1350"/>
    <n v="-100"/>
    <n v="30"/>
    <x v="1"/>
    <n v="0"/>
  </r>
  <r>
    <s v="I012"/>
    <s v="Chair"/>
    <x v="1"/>
    <x v="1"/>
    <x v="11"/>
    <n v="0"/>
    <n v="10"/>
    <n v="1480"/>
    <n v="-120"/>
    <n v="30"/>
    <x v="1"/>
    <n v="0"/>
  </r>
  <r>
    <s v="I013"/>
    <s v="Laptop"/>
    <x v="0"/>
    <x v="0"/>
    <x v="12"/>
    <n v="0"/>
    <n v="10"/>
    <n v="1610"/>
    <n v="-140"/>
    <n v="30"/>
    <x v="1"/>
    <n v="0"/>
  </r>
  <r>
    <s v="I014"/>
    <s v="Chair"/>
    <x v="1"/>
    <x v="1"/>
    <x v="13"/>
    <n v="0"/>
    <n v="10"/>
    <n v="1740"/>
    <n v="-160"/>
    <n v="30"/>
    <x v="1"/>
    <n v="0"/>
  </r>
  <r>
    <s v="I015"/>
    <s v="Laptop"/>
    <x v="0"/>
    <x v="0"/>
    <x v="14"/>
    <n v="0"/>
    <n v="10"/>
    <n v="1870"/>
    <n v="-180"/>
    <n v="30"/>
    <x v="1"/>
    <n v="0"/>
  </r>
  <r>
    <s v="I016"/>
    <s v="Chair"/>
    <x v="1"/>
    <x v="1"/>
    <x v="15"/>
    <n v="0"/>
    <n v="10"/>
    <n v="2000"/>
    <n v="-200"/>
    <n v="30"/>
    <x v="1"/>
    <n v="0"/>
  </r>
  <r>
    <s v="I017"/>
    <s v="Laptop"/>
    <x v="0"/>
    <x v="0"/>
    <x v="16"/>
    <n v="0"/>
    <n v="10"/>
    <n v="2130"/>
    <n v="-220"/>
    <n v="30"/>
    <x v="1"/>
    <n v="0"/>
  </r>
  <r>
    <s v="I018"/>
    <s v="Chair"/>
    <x v="1"/>
    <x v="1"/>
    <x v="17"/>
    <n v="0"/>
    <n v="10"/>
    <n v="2260"/>
    <n v="-240"/>
    <n v="30"/>
    <x v="1"/>
    <n v="0"/>
  </r>
  <r>
    <s v="I019"/>
    <s v="Laptop"/>
    <x v="0"/>
    <x v="0"/>
    <x v="18"/>
    <n v="0"/>
    <n v="10"/>
    <n v="2390"/>
    <n v="-260"/>
    <n v="30"/>
    <x v="1"/>
    <n v="0"/>
  </r>
  <r>
    <s v="I020"/>
    <s v="Chair"/>
    <x v="1"/>
    <x v="1"/>
    <x v="19"/>
    <n v="0"/>
    <n v="10"/>
    <n v="2520"/>
    <n v="-280"/>
    <n v="30"/>
    <x v="1"/>
    <n v="0"/>
  </r>
  <r>
    <s v="I021"/>
    <s v="Laptop"/>
    <x v="0"/>
    <x v="0"/>
    <x v="20"/>
    <n v="0"/>
    <n v="10"/>
    <n v="2650"/>
    <n v="-300"/>
    <n v="30"/>
    <x v="1"/>
    <n v="0"/>
  </r>
  <r>
    <s v="I022"/>
    <s v="Chair"/>
    <x v="1"/>
    <x v="1"/>
    <x v="21"/>
    <n v="0"/>
    <n v="10"/>
    <n v="2780"/>
    <n v="-320"/>
    <n v="30"/>
    <x v="1"/>
    <n v="0"/>
  </r>
  <r>
    <s v="I023"/>
    <s v="Laptop"/>
    <x v="0"/>
    <x v="0"/>
    <x v="22"/>
    <n v="0"/>
    <n v="10"/>
    <n v="2910"/>
    <n v="-340"/>
    <n v="30"/>
    <x v="1"/>
    <n v="0"/>
  </r>
  <r>
    <s v="I024"/>
    <s v="Chair"/>
    <x v="1"/>
    <x v="1"/>
    <x v="23"/>
    <n v="0"/>
    <n v="10"/>
    <n v="3040"/>
    <n v="-360"/>
    <n v="30"/>
    <x v="1"/>
    <n v="0"/>
  </r>
  <r>
    <s v="I025"/>
    <s v="Laptop"/>
    <x v="0"/>
    <x v="0"/>
    <x v="24"/>
    <n v="0"/>
    <n v="10"/>
    <n v="3170"/>
    <n v="-380"/>
    <n v="30"/>
    <x v="1"/>
    <n v="0"/>
  </r>
  <r>
    <s v="I026"/>
    <s v="Chair"/>
    <x v="1"/>
    <x v="1"/>
    <x v="25"/>
    <n v="0"/>
    <n v="10"/>
    <n v="3300"/>
    <n v="-400"/>
    <n v="30"/>
    <x v="1"/>
    <n v="0"/>
  </r>
  <r>
    <s v="I027"/>
    <s v="Laptop"/>
    <x v="0"/>
    <x v="0"/>
    <x v="26"/>
    <n v="0"/>
    <n v="10"/>
    <n v="3430"/>
    <n v="-420"/>
    <n v="30"/>
    <x v="1"/>
    <n v="0"/>
  </r>
  <r>
    <s v="I028"/>
    <s v="Chair"/>
    <x v="1"/>
    <x v="1"/>
    <x v="27"/>
    <n v="0"/>
    <n v="10"/>
    <n v="3560"/>
    <n v="-440"/>
    <n v="30"/>
    <x v="1"/>
    <n v="0"/>
  </r>
  <r>
    <s v="I029"/>
    <s v="Laptop"/>
    <x v="0"/>
    <x v="0"/>
    <x v="28"/>
    <n v="0"/>
    <n v="10"/>
    <n v="3690"/>
    <n v="-460"/>
    <n v="30"/>
    <x v="1"/>
    <n v="0"/>
  </r>
  <r>
    <s v="I030"/>
    <s v="Chair"/>
    <x v="1"/>
    <x v="1"/>
    <x v="29"/>
    <n v="0"/>
    <n v="10"/>
    <n v="3820"/>
    <n v="-480"/>
    <n v="30"/>
    <x v="1"/>
    <n v="0"/>
  </r>
  <r>
    <s v="I031"/>
    <s v="Laptop"/>
    <x v="0"/>
    <x v="0"/>
    <x v="30"/>
    <n v="0"/>
    <n v="10"/>
    <n v="3950"/>
    <n v="-500"/>
    <n v="30"/>
    <x v="1"/>
    <n v="0"/>
  </r>
  <r>
    <s v="I032"/>
    <s v="Chair"/>
    <x v="1"/>
    <x v="1"/>
    <x v="31"/>
    <n v="0"/>
    <n v="10"/>
    <n v="4080"/>
    <n v="-520"/>
    <n v="30"/>
    <x v="1"/>
    <n v="0"/>
  </r>
  <r>
    <s v="I033"/>
    <s v="Laptop"/>
    <x v="0"/>
    <x v="0"/>
    <x v="32"/>
    <n v="0"/>
    <n v="10"/>
    <n v="4210"/>
    <n v="-540"/>
    <n v="30"/>
    <x v="1"/>
    <n v="0"/>
  </r>
  <r>
    <s v="I034"/>
    <s v="Chair"/>
    <x v="1"/>
    <x v="1"/>
    <x v="33"/>
    <n v="0"/>
    <n v="10"/>
    <n v="4340"/>
    <n v="-560"/>
    <n v="30"/>
    <x v="1"/>
    <n v="0"/>
  </r>
  <r>
    <s v="I035"/>
    <s v="Laptop"/>
    <x v="0"/>
    <x v="0"/>
    <x v="34"/>
    <n v="0"/>
    <n v="10"/>
    <n v="4470"/>
    <n v="-580"/>
    <n v="30"/>
    <x v="1"/>
    <n v="0"/>
  </r>
  <r>
    <s v="I036"/>
    <s v="Chair"/>
    <x v="1"/>
    <x v="1"/>
    <x v="35"/>
    <n v="0"/>
    <n v="10"/>
    <n v="4600"/>
    <n v="-600"/>
    <n v="30"/>
    <x v="1"/>
    <n v="0"/>
  </r>
  <r>
    <s v="I037"/>
    <s v="Laptop"/>
    <x v="0"/>
    <x v="0"/>
    <x v="36"/>
    <n v="0"/>
    <n v="10"/>
    <n v="4730"/>
    <n v="-620"/>
    <n v="30"/>
    <x v="1"/>
    <n v="0"/>
  </r>
  <r>
    <s v="I038"/>
    <s v="Chair"/>
    <x v="1"/>
    <x v="1"/>
    <x v="37"/>
    <n v="0"/>
    <n v="10"/>
    <n v="4860"/>
    <n v="-640"/>
    <n v="30"/>
    <x v="1"/>
    <n v="0"/>
  </r>
  <r>
    <s v="I039"/>
    <s v="Laptop"/>
    <x v="0"/>
    <x v="0"/>
    <x v="38"/>
    <n v="0"/>
    <n v="10"/>
    <n v="4990"/>
    <n v="-660"/>
    <n v="30"/>
    <x v="1"/>
    <n v="0"/>
  </r>
  <r>
    <s v="I040"/>
    <s v="Chair"/>
    <x v="1"/>
    <x v="1"/>
    <x v="39"/>
    <n v="0"/>
    <n v="10"/>
    <n v="5120"/>
    <n v="-680"/>
    <n v="30"/>
    <x v="1"/>
    <n v="0"/>
  </r>
  <r>
    <s v="I041"/>
    <s v="Laptop"/>
    <x v="0"/>
    <x v="0"/>
    <x v="40"/>
    <n v="0"/>
    <n v="10"/>
    <n v="5250"/>
    <n v="-700"/>
    <n v="30"/>
    <x v="1"/>
    <n v="0"/>
  </r>
  <r>
    <s v="I042"/>
    <s v="Chair"/>
    <x v="1"/>
    <x v="1"/>
    <x v="41"/>
    <n v="0"/>
    <n v="10"/>
    <n v="5380"/>
    <n v="-720"/>
    <n v="30"/>
    <x v="1"/>
    <n v="0"/>
  </r>
  <r>
    <s v="I043"/>
    <s v="Laptop"/>
    <x v="0"/>
    <x v="0"/>
    <x v="42"/>
    <n v="0"/>
    <n v="10"/>
    <n v="5510"/>
    <n v="-740"/>
    <n v="30"/>
    <x v="1"/>
    <n v="0"/>
  </r>
  <r>
    <s v="I044"/>
    <s v="Chair"/>
    <x v="1"/>
    <x v="1"/>
    <x v="43"/>
    <n v="0"/>
    <n v="10"/>
    <n v="5640"/>
    <n v="-760"/>
    <n v="30"/>
    <x v="1"/>
    <n v="0"/>
  </r>
  <r>
    <s v="I045"/>
    <s v="Laptop"/>
    <x v="0"/>
    <x v="0"/>
    <x v="44"/>
    <n v="0"/>
    <n v="10"/>
    <n v="5770"/>
    <n v="-780"/>
    <n v="30"/>
    <x v="1"/>
    <n v="0"/>
  </r>
  <r>
    <s v="I046"/>
    <s v="Chair"/>
    <x v="1"/>
    <x v="1"/>
    <x v="45"/>
    <n v="0"/>
    <n v="10"/>
    <n v="5900"/>
    <n v="-800"/>
    <n v="30"/>
    <x v="1"/>
    <n v="0"/>
  </r>
  <r>
    <s v="I047"/>
    <s v="Laptop"/>
    <x v="0"/>
    <x v="0"/>
    <x v="46"/>
    <n v="0"/>
    <n v="10"/>
    <n v="6030"/>
    <n v="-820"/>
    <n v="30"/>
    <x v="1"/>
    <n v="0"/>
  </r>
  <r>
    <s v="I048"/>
    <s v="Chair"/>
    <x v="1"/>
    <x v="1"/>
    <x v="47"/>
    <n v="0"/>
    <n v="10"/>
    <n v="6160"/>
    <n v="-840"/>
    <n v="30"/>
    <x v="1"/>
    <n v="0"/>
  </r>
  <r>
    <s v="I049"/>
    <s v="Laptop"/>
    <x v="0"/>
    <x v="0"/>
    <x v="48"/>
    <n v="0"/>
    <n v="10"/>
    <n v="6290"/>
    <n v="-860"/>
    <n v="30"/>
    <x v="1"/>
    <n v="0"/>
  </r>
  <r>
    <s v="I050"/>
    <s v="Chair"/>
    <x v="1"/>
    <x v="1"/>
    <x v="49"/>
    <n v="0"/>
    <n v="10"/>
    <n v="6420"/>
    <n v="-880"/>
    <n v="30"/>
    <x v="1"/>
    <n v="0"/>
  </r>
  <r>
    <s v="I051"/>
    <s v="Laptop"/>
    <x v="0"/>
    <x v="0"/>
    <x v="50"/>
    <n v="0"/>
    <n v="10"/>
    <n v="6550"/>
    <n v="-900"/>
    <n v="30"/>
    <x v="1"/>
    <n v="0"/>
  </r>
  <r>
    <s v="I052"/>
    <s v="Chair"/>
    <x v="1"/>
    <x v="1"/>
    <x v="51"/>
    <n v="0"/>
    <n v="10"/>
    <n v="6680"/>
    <n v="-920"/>
    <n v="30"/>
    <x v="1"/>
    <n v="0"/>
  </r>
  <r>
    <s v="I053"/>
    <s v="Laptop"/>
    <x v="0"/>
    <x v="0"/>
    <x v="52"/>
    <n v="0"/>
    <n v="10"/>
    <n v="6810"/>
    <n v="-940"/>
    <n v="30"/>
    <x v="1"/>
    <n v="0"/>
  </r>
  <r>
    <s v="I054"/>
    <s v="Chair"/>
    <x v="1"/>
    <x v="1"/>
    <x v="53"/>
    <n v="0"/>
    <n v="10"/>
    <n v="6940"/>
    <n v="-960"/>
    <n v="30"/>
    <x v="1"/>
    <n v="0"/>
  </r>
  <r>
    <s v="I055"/>
    <s v="Laptop"/>
    <x v="0"/>
    <x v="0"/>
    <x v="54"/>
    <n v="0"/>
    <n v="10"/>
    <n v="7070"/>
    <n v="-980"/>
    <n v="30"/>
    <x v="1"/>
    <n v="0"/>
  </r>
  <r>
    <s v="I056"/>
    <s v="Chair"/>
    <x v="1"/>
    <x v="1"/>
    <x v="55"/>
    <n v="0"/>
    <n v="10"/>
    <n v="7200"/>
    <n v="-1000"/>
    <n v="30"/>
    <x v="1"/>
    <n v="0"/>
  </r>
  <r>
    <s v="I057"/>
    <s v="Laptop"/>
    <x v="0"/>
    <x v="0"/>
    <x v="56"/>
    <n v="0"/>
    <n v="10"/>
    <n v="7330"/>
    <n v="-1020"/>
    <n v="30"/>
    <x v="1"/>
    <n v="0"/>
  </r>
  <r>
    <s v="I058"/>
    <s v="Chair"/>
    <x v="1"/>
    <x v="1"/>
    <x v="57"/>
    <n v="0"/>
    <n v="10"/>
    <n v="7460"/>
    <n v="-1040"/>
    <n v="30"/>
    <x v="1"/>
    <n v="0"/>
  </r>
  <r>
    <s v="I059"/>
    <s v="Laptop"/>
    <x v="0"/>
    <x v="0"/>
    <x v="58"/>
    <n v="0"/>
    <n v="10"/>
    <n v="7590"/>
    <n v="-1060"/>
    <n v="30"/>
    <x v="1"/>
    <n v="0"/>
  </r>
  <r>
    <s v="I060"/>
    <s v="Chair"/>
    <x v="1"/>
    <x v="1"/>
    <x v="59"/>
    <n v="0"/>
    <n v="10"/>
    <n v="7720"/>
    <n v="-1080"/>
    <n v="30"/>
    <x v="1"/>
    <n v="0"/>
  </r>
  <r>
    <s v="I061"/>
    <s v="Laptop"/>
    <x v="0"/>
    <x v="0"/>
    <x v="60"/>
    <n v="0"/>
    <n v="10"/>
    <n v="7850"/>
    <n v="-1100"/>
    <n v="30"/>
    <x v="1"/>
    <n v="0"/>
  </r>
  <r>
    <s v="I062"/>
    <s v="Chair"/>
    <x v="1"/>
    <x v="1"/>
    <x v="61"/>
    <n v="0"/>
    <n v="10"/>
    <n v="7980"/>
    <n v="-1120"/>
    <n v="30"/>
    <x v="1"/>
    <n v="0"/>
  </r>
  <r>
    <s v="I063"/>
    <s v="Laptop"/>
    <x v="0"/>
    <x v="0"/>
    <x v="62"/>
    <n v="0"/>
    <n v="10"/>
    <n v="8110"/>
    <n v="-1140"/>
    <n v="30"/>
    <x v="1"/>
    <n v="0"/>
  </r>
  <r>
    <s v="I064"/>
    <s v="Chair"/>
    <x v="1"/>
    <x v="1"/>
    <x v="63"/>
    <n v="0"/>
    <n v="10"/>
    <n v="8240"/>
    <n v="-1160"/>
    <n v="30"/>
    <x v="1"/>
    <n v="0"/>
  </r>
  <r>
    <s v="I065"/>
    <s v="Laptop"/>
    <x v="0"/>
    <x v="0"/>
    <x v="64"/>
    <n v="0"/>
    <n v="10"/>
    <n v="8370"/>
    <n v="-1180"/>
    <n v="30"/>
    <x v="1"/>
    <n v="0"/>
  </r>
  <r>
    <s v="I066"/>
    <s v="Chair"/>
    <x v="1"/>
    <x v="1"/>
    <x v="65"/>
    <n v="0"/>
    <n v="10"/>
    <n v="8500"/>
    <n v="-1200"/>
    <n v="30"/>
    <x v="1"/>
    <n v="0"/>
  </r>
  <r>
    <s v="I067"/>
    <s v="Laptop"/>
    <x v="0"/>
    <x v="0"/>
    <x v="66"/>
    <n v="0"/>
    <n v="10"/>
    <n v="8630"/>
    <n v="-1220"/>
    <n v="30"/>
    <x v="1"/>
    <n v="0"/>
  </r>
  <r>
    <s v="I068"/>
    <s v="Chair"/>
    <x v="1"/>
    <x v="1"/>
    <x v="67"/>
    <n v="0"/>
    <n v="10"/>
    <n v="8760"/>
    <n v="-1240"/>
    <n v="30"/>
    <x v="1"/>
    <n v="0"/>
  </r>
  <r>
    <s v="I069"/>
    <s v="Laptop"/>
    <x v="0"/>
    <x v="0"/>
    <x v="68"/>
    <n v="0"/>
    <n v="10"/>
    <n v="8890"/>
    <n v="-1260"/>
    <n v="30"/>
    <x v="1"/>
    <n v="0"/>
  </r>
  <r>
    <s v="I070"/>
    <s v="Chair"/>
    <x v="1"/>
    <x v="1"/>
    <x v="69"/>
    <n v="0"/>
    <n v="10"/>
    <n v="9020"/>
    <n v="-1280"/>
    <n v="30"/>
    <x v="1"/>
    <n v="0"/>
  </r>
  <r>
    <s v="I071"/>
    <s v="Laptop"/>
    <x v="0"/>
    <x v="0"/>
    <x v="70"/>
    <n v="0"/>
    <n v="10"/>
    <n v="9150"/>
    <n v="-1300"/>
    <n v="30"/>
    <x v="1"/>
    <n v="0"/>
  </r>
  <r>
    <s v="I072"/>
    <s v="Chair"/>
    <x v="1"/>
    <x v="1"/>
    <x v="71"/>
    <n v="0"/>
    <n v="10"/>
    <n v="9280"/>
    <n v="-1320"/>
    <n v="30"/>
    <x v="1"/>
    <n v="0"/>
  </r>
  <r>
    <s v="I073"/>
    <s v="Laptop"/>
    <x v="0"/>
    <x v="0"/>
    <x v="72"/>
    <n v="0"/>
    <n v="10"/>
    <n v="9410"/>
    <n v="-1340"/>
    <n v="30"/>
    <x v="1"/>
    <n v="0"/>
  </r>
  <r>
    <s v="I074"/>
    <s v="Chair"/>
    <x v="1"/>
    <x v="1"/>
    <x v="73"/>
    <n v="0"/>
    <n v="10"/>
    <n v="9540"/>
    <n v="-1360"/>
    <n v="30"/>
    <x v="1"/>
    <n v="0"/>
  </r>
  <r>
    <s v="I075"/>
    <s v="Laptop"/>
    <x v="0"/>
    <x v="0"/>
    <x v="74"/>
    <n v="0"/>
    <n v="10"/>
    <n v="9670"/>
    <n v="-1380"/>
    <n v="30"/>
    <x v="1"/>
    <n v="0"/>
  </r>
  <r>
    <s v="I076"/>
    <s v="Chair"/>
    <x v="1"/>
    <x v="1"/>
    <x v="75"/>
    <n v="0"/>
    <n v="10"/>
    <n v="9800"/>
    <n v="-1400"/>
    <n v="30"/>
    <x v="1"/>
    <n v="0"/>
  </r>
  <r>
    <s v="I077"/>
    <s v="Laptop"/>
    <x v="0"/>
    <x v="0"/>
    <x v="76"/>
    <n v="0"/>
    <n v="10"/>
    <n v="9930"/>
    <n v="-1420"/>
    <n v="30"/>
    <x v="1"/>
    <n v="0"/>
  </r>
  <r>
    <s v="I078"/>
    <s v="Chair"/>
    <x v="1"/>
    <x v="1"/>
    <x v="77"/>
    <n v="0"/>
    <n v="10"/>
    <n v="10060"/>
    <n v="-1440"/>
    <n v="30"/>
    <x v="1"/>
    <n v="0"/>
  </r>
  <r>
    <s v="I079"/>
    <s v="Laptop"/>
    <x v="0"/>
    <x v="0"/>
    <x v="78"/>
    <n v="0"/>
    <n v="10"/>
    <n v="10190"/>
    <n v="-1460"/>
    <n v="30"/>
    <x v="1"/>
    <n v="0"/>
  </r>
  <r>
    <s v="I080"/>
    <s v="Chair"/>
    <x v="1"/>
    <x v="1"/>
    <x v="79"/>
    <n v="0"/>
    <n v="10"/>
    <n v="10320"/>
    <n v="-1480"/>
    <n v="30"/>
    <x v="1"/>
    <n v="0"/>
  </r>
  <r>
    <s v="I081"/>
    <s v="Laptop"/>
    <x v="0"/>
    <x v="0"/>
    <x v="80"/>
    <n v="0"/>
    <n v="10"/>
    <n v="10450"/>
    <n v="-1500"/>
    <n v="30"/>
    <x v="1"/>
    <n v="0"/>
  </r>
  <r>
    <s v="I082"/>
    <s v="Chair"/>
    <x v="1"/>
    <x v="1"/>
    <x v="81"/>
    <n v="0"/>
    <n v="10"/>
    <n v="10580"/>
    <n v="-1520"/>
    <n v="30"/>
    <x v="1"/>
    <n v="0"/>
  </r>
  <r>
    <s v="I083"/>
    <s v="Laptop"/>
    <x v="0"/>
    <x v="0"/>
    <x v="82"/>
    <n v="0"/>
    <n v="10"/>
    <n v="10710"/>
    <n v="-1540"/>
    <n v="30"/>
    <x v="1"/>
    <n v="0"/>
  </r>
  <r>
    <s v="I084"/>
    <s v="Chair"/>
    <x v="1"/>
    <x v="1"/>
    <x v="83"/>
    <n v="0"/>
    <n v="10"/>
    <n v="10840"/>
    <n v="-1560"/>
    <n v="30"/>
    <x v="1"/>
    <n v="0"/>
  </r>
  <r>
    <s v="I085"/>
    <s v="Laptop"/>
    <x v="0"/>
    <x v="0"/>
    <x v="84"/>
    <n v="0"/>
    <n v="10"/>
    <n v="10970"/>
    <n v="-1580"/>
    <n v="30"/>
    <x v="1"/>
    <n v="0"/>
  </r>
  <r>
    <s v="I086"/>
    <s v="Chair"/>
    <x v="1"/>
    <x v="1"/>
    <x v="85"/>
    <n v="0"/>
    <n v="10"/>
    <n v="11100"/>
    <n v="-1600"/>
    <n v="30"/>
    <x v="1"/>
    <n v="0"/>
  </r>
  <r>
    <s v="I087"/>
    <s v="Laptop"/>
    <x v="0"/>
    <x v="0"/>
    <x v="86"/>
    <n v="0"/>
    <n v="10"/>
    <n v="11230"/>
    <n v="-1620"/>
    <n v="30"/>
    <x v="1"/>
    <n v="0"/>
  </r>
  <r>
    <s v="I088"/>
    <s v="Chair"/>
    <x v="1"/>
    <x v="1"/>
    <x v="87"/>
    <n v="0"/>
    <n v="10"/>
    <n v="11360"/>
    <n v="-1640"/>
    <n v="30"/>
    <x v="1"/>
    <n v="0"/>
  </r>
  <r>
    <s v="I089"/>
    <s v="Laptop"/>
    <x v="0"/>
    <x v="0"/>
    <x v="88"/>
    <n v="0"/>
    <n v="10"/>
    <n v="11490"/>
    <n v="-1660"/>
    <n v="30"/>
    <x v="1"/>
    <n v="0"/>
  </r>
  <r>
    <s v="I090"/>
    <s v="Chair"/>
    <x v="1"/>
    <x v="1"/>
    <x v="89"/>
    <n v="0"/>
    <n v="10"/>
    <n v="11620"/>
    <n v="-1680"/>
    <n v="30"/>
    <x v="1"/>
    <n v="0"/>
  </r>
  <r>
    <s v="I091"/>
    <s v="Laptop"/>
    <x v="0"/>
    <x v="0"/>
    <x v="90"/>
    <n v="0"/>
    <n v="10"/>
    <n v="11750"/>
    <n v="-1700"/>
    <n v="30"/>
    <x v="1"/>
    <n v="0"/>
  </r>
  <r>
    <s v="I092"/>
    <s v="Chair"/>
    <x v="1"/>
    <x v="1"/>
    <x v="91"/>
    <n v="0"/>
    <n v="10"/>
    <n v="11880"/>
    <n v="-1720"/>
    <n v="30"/>
    <x v="1"/>
    <n v="0"/>
  </r>
  <r>
    <s v="I093"/>
    <s v="Laptop"/>
    <x v="0"/>
    <x v="0"/>
    <x v="92"/>
    <n v="0"/>
    <n v="10"/>
    <n v="12010"/>
    <n v="-1740"/>
    <n v="30"/>
    <x v="1"/>
    <n v="0"/>
  </r>
  <r>
    <s v="I094"/>
    <s v="Chair"/>
    <x v="1"/>
    <x v="1"/>
    <x v="93"/>
    <n v="0"/>
    <n v="10"/>
    <n v="12140"/>
    <n v="-1760"/>
    <n v="30"/>
    <x v="1"/>
    <n v="0"/>
  </r>
  <r>
    <s v="I095"/>
    <s v="Laptop"/>
    <x v="0"/>
    <x v="0"/>
    <x v="94"/>
    <n v="0"/>
    <n v="10"/>
    <n v="12270"/>
    <n v="-1780"/>
    <n v="30"/>
    <x v="1"/>
    <n v="0"/>
  </r>
  <r>
    <s v="I096"/>
    <s v="Chair"/>
    <x v="1"/>
    <x v="1"/>
    <x v="95"/>
    <n v="0"/>
    <n v="10"/>
    <n v="12400"/>
    <n v="-1800"/>
    <n v="30"/>
    <x v="1"/>
    <n v="0"/>
  </r>
  <r>
    <s v="I097"/>
    <s v="Laptop"/>
    <x v="0"/>
    <x v="0"/>
    <x v="96"/>
    <n v="0"/>
    <n v="10"/>
    <n v="12530"/>
    <n v="-1820"/>
    <n v="30"/>
    <x v="1"/>
    <n v="0"/>
  </r>
  <r>
    <s v="I098"/>
    <s v="Chair"/>
    <x v="1"/>
    <x v="1"/>
    <x v="97"/>
    <n v="0"/>
    <n v="10"/>
    <n v="12660"/>
    <n v="-1840"/>
    <n v="30"/>
    <x v="1"/>
    <n v="0"/>
  </r>
  <r>
    <s v="I099"/>
    <s v="Laptop"/>
    <x v="0"/>
    <x v="0"/>
    <x v="98"/>
    <n v="0"/>
    <n v="10"/>
    <n v="12790"/>
    <n v="-1860"/>
    <n v="30"/>
    <x v="1"/>
    <n v="0"/>
  </r>
  <r>
    <s v="I100"/>
    <s v="Chair"/>
    <x v="1"/>
    <x v="1"/>
    <x v="99"/>
    <n v="0"/>
    <n v="10"/>
    <n v="12920"/>
    <n v="-1880"/>
    <n v="30"/>
    <x v="1"/>
    <n v="0"/>
  </r>
  <r>
    <s v="I101"/>
    <s v="Laptop"/>
    <x v="0"/>
    <x v="0"/>
    <x v="100"/>
    <n v="0"/>
    <n v="10"/>
    <n v="13050"/>
    <n v="-1900"/>
    <n v="30"/>
    <x v="1"/>
    <n v="0"/>
  </r>
  <r>
    <s v="I102"/>
    <s v="Chair"/>
    <x v="1"/>
    <x v="1"/>
    <x v="101"/>
    <n v="0"/>
    <n v="10"/>
    <n v="13180"/>
    <n v="-1920"/>
    <n v="30"/>
    <x v="1"/>
    <n v="0"/>
  </r>
  <r>
    <s v="I103"/>
    <s v="Laptop"/>
    <x v="0"/>
    <x v="0"/>
    <x v="102"/>
    <n v="0"/>
    <n v="10"/>
    <n v="13310"/>
    <n v="-1940"/>
    <n v="30"/>
    <x v="1"/>
    <n v="0"/>
  </r>
  <r>
    <s v="I104"/>
    <s v="Chair"/>
    <x v="1"/>
    <x v="1"/>
    <x v="103"/>
    <n v="0"/>
    <n v="10"/>
    <n v="13440"/>
    <n v="-1960"/>
    <n v="30"/>
    <x v="1"/>
    <n v="0"/>
  </r>
  <r>
    <s v="I105"/>
    <s v="Laptop"/>
    <x v="0"/>
    <x v="0"/>
    <x v="104"/>
    <n v="0"/>
    <n v="10"/>
    <n v="13570"/>
    <n v="-1980"/>
    <n v="30"/>
    <x v="1"/>
    <n v="0"/>
  </r>
  <r>
    <s v="I106"/>
    <s v="Chair"/>
    <x v="1"/>
    <x v="1"/>
    <x v="105"/>
    <n v="0"/>
    <n v="10"/>
    <n v="13700"/>
    <n v="-2000"/>
    <n v="30"/>
    <x v="1"/>
    <n v="0"/>
  </r>
  <r>
    <s v="I107"/>
    <s v="Laptop"/>
    <x v="0"/>
    <x v="0"/>
    <x v="106"/>
    <n v="0"/>
    <n v="10"/>
    <n v="13830"/>
    <n v="-2020"/>
    <n v="30"/>
    <x v="1"/>
    <n v="0"/>
  </r>
  <r>
    <s v="I108"/>
    <s v="Chair"/>
    <x v="1"/>
    <x v="1"/>
    <x v="107"/>
    <n v="0"/>
    <n v="10"/>
    <n v="13960"/>
    <n v="-2040"/>
    <n v="30"/>
    <x v="1"/>
    <n v="0"/>
  </r>
  <r>
    <s v="I109"/>
    <s v="Laptop"/>
    <x v="0"/>
    <x v="0"/>
    <x v="108"/>
    <n v="0"/>
    <n v="10"/>
    <n v="14090"/>
    <n v="-2060"/>
    <n v="30"/>
    <x v="1"/>
    <n v="0"/>
  </r>
  <r>
    <s v="I110"/>
    <s v="Chair"/>
    <x v="1"/>
    <x v="1"/>
    <x v="109"/>
    <n v="0"/>
    <n v="10"/>
    <n v="14220"/>
    <n v="-2080"/>
    <n v="30"/>
    <x v="1"/>
    <n v="0"/>
  </r>
  <r>
    <s v="I111"/>
    <s v="Laptop"/>
    <x v="0"/>
    <x v="0"/>
    <x v="110"/>
    <n v="0"/>
    <n v="10"/>
    <n v="14350"/>
    <n v="-2100"/>
    <n v="30"/>
    <x v="1"/>
    <n v="0"/>
  </r>
  <r>
    <s v="I112"/>
    <s v="Chair"/>
    <x v="1"/>
    <x v="1"/>
    <x v="111"/>
    <n v="0"/>
    <n v="10"/>
    <n v="14480"/>
    <n v="-2120"/>
    <n v="30"/>
    <x v="1"/>
    <n v="0"/>
  </r>
  <r>
    <s v="I113"/>
    <s v="Laptop"/>
    <x v="0"/>
    <x v="0"/>
    <x v="112"/>
    <n v="0"/>
    <n v="10"/>
    <n v="14610"/>
    <n v="-2140"/>
    <n v="30"/>
    <x v="1"/>
    <n v="0"/>
  </r>
  <r>
    <s v="I114"/>
    <s v="Chair"/>
    <x v="1"/>
    <x v="1"/>
    <x v="113"/>
    <n v="0"/>
    <n v="10"/>
    <n v="14740"/>
    <n v="-2160"/>
    <n v="30"/>
    <x v="1"/>
    <n v="0"/>
  </r>
  <r>
    <s v="I115"/>
    <s v="Laptop"/>
    <x v="0"/>
    <x v="0"/>
    <x v="114"/>
    <n v="0"/>
    <n v="10"/>
    <n v="14870"/>
    <n v="-2180"/>
    <n v="30"/>
    <x v="1"/>
    <n v="0"/>
  </r>
  <r>
    <s v="I116"/>
    <s v="Chair"/>
    <x v="1"/>
    <x v="1"/>
    <x v="115"/>
    <n v="0"/>
    <n v="10"/>
    <n v="15000"/>
    <n v="-2200"/>
    <n v="30"/>
    <x v="1"/>
    <n v="0"/>
  </r>
  <r>
    <s v="I117"/>
    <s v="Laptop"/>
    <x v="0"/>
    <x v="0"/>
    <x v="116"/>
    <n v="0"/>
    <n v="10"/>
    <n v="15130"/>
    <n v="-2220"/>
    <n v="30"/>
    <x v="1"/>
    <n v="0"/>
  </r>
  <r>
    <s v="I118"/>
    <s v="Chair"/>
    <x v="1"/>
    <x v="1"/>
    <x v="117"/>
    <n v="0"/>
    <n v="10"/>
    <n v="15260"/>
    <n v="-2240"/>
    <n v="30"/>
    <x v="1"/>
    <n v="0"/>
  </r>
  <r>
    <s v="I119"/>
    <s v="Laptop"/>
    <x v="0"/>
    <x v="0"/>
    <x v="118"/>
    <n v="0"/>
    <n v="10"/>
    <n v="15390"/>
    <n v="-2260"/>
    <n v="30"/>
    <x v="1"/>
    <n v="0"/>
  </r>
  <r>
    <s v="I120"/>
    <s v="Chair"/>
    <x v="1"/>
    <x v="1"/>
    <x v="119"/>
    <n v="0"/>
    <n v="10"/>
    <n v="15520"/>
    <n v="-2280"/>
    <n v="30"/>
    <x v="1"/>
    <n v="0"/>
  </r>
  <r>
    <s v="I121"/>
    <s v="Laptop"/>
    <x v="0"/>
    <x v="0"/>
    <x v="120"/>
    <n v="0"/>
    <n v="10"/>
    <n v="15650"/>
    <n v="-2300"/>
    <n v="30"/>
    <x v="1"/>
    <n v="0"/>
  </r>
  <r>
    <s v="I122"/>
    <s v="Chair"/>
    <x v="1"/>
    <x v="1"/>
    <x v="121"/>
    <n v="0"/>
    <n v="10"/>
    <n v="15780"/>
    <n v="-2320"/>
    <n v="30"/>
    <x v="1"/>
    <n v="0"/>
  </r>
  <r>
    <s v="I123"/>
    <s v="Laptop"/>
    <x v="0"/>
    <x v="0"/>
    <x v="122"/>
    <n v="0"/>
    <n v="10"/>
    <n v="15910"/>
    <n v="-2340"/>
    <n v="30"/>
    <x v="1"/>
    <n v="0"/>
  </r>
  <r>
    <s v="I124"/>
    <s v="Chair"/>
    <x v="1"/>
    <x v="1"/>
    <x v="123"/>
    <n v="0"/>
    <n v="10"/>
    <n v="16040"/>
    <n v="-2360"/>
    <n v="30"/>
    <x v="1"/>
    <n v="0"/>
  </r>
  <r>
    <s v="I125"/>
    <s v="Laptop"/>
    <x v="0"/>
    <x v="0"/>
    <x v="124"/>
    <n v="0"/>
    <n v="10"/>
    <n v="16170"/>
    <n v="-2380"/>
    <n v="30"/>
    <x v="1"/>
    <n v="0"/>
  </r>
  <r>
    <s v="I126"/>
    <s v="Chair"/>
    <x v="1"/>
    <x v="1"/>
    <x v="125"/>
    <n v="0"/>
    <n v="10"/>
    <n v="16300"/>
    <n v="-2400"/>
    <n v="30"/>
    <x v="1"/>
    <n v="0"/>
  </r>
  <r>
    <s v="I127"/>
    <s v="Laptop"/>
    <x v="0"/>
    <x v="0"/>
    <x v="126"/>
    <n v="0"/>
    <n v="10"/>
    <n v="16430"/>
    <n v="-2420"/>
    <n v="30"/>
    <x v="1"/>
    <n v="0"/>
  </r>
  <r>
    <s v="I128"/>
    <s v="Chair"/>
    <x v="1"/>
    <x v="1"/>
    <x v="127"/>
    <n v="0"/>
    <n v="10"/>
    <n v="16560"/>
    <n v="-2440"/>
    <n v="30"/>
    <x v="1"/>
    <n v="0"/>
  </r>
  <r>
    <s v="I129"/>
    <s v="Laptop"/>
    <x v="0"/>
    <x v="0"/>
    <x v="128"/>
    <n v="0"/>
    <n v="10"/>
    <n v="16690"/>
    <n v="-2460"/>
    <n v="30"/>
    <x v="1"/>
    <n v="0"/>
  </r>
  <r>
    <s v="I130"/>
    <s v="Chair"/>
    <x v="1"/>
    <x v="1"/>
    <x v="129"/>
    <n v="0"/>
    <n v="10"/>
    <n v="16820"/>
    <n v="-2480"/>
    <n v="30"/>
    <x v="1"/>
    <n v="0"/>
  </r>
  <r>
    <s v="I131"/>
    <s v="Laptop"/>
    <x v="0"/>
    <x v="0"/>
    <x v="130"/>
    <n v="0"/>
    <n v="10"/>
    <n v="16950"/>
    <n v="-2500"/>
    <n v="30"/>
    <x v="1"/>
    <n v="0"/>
  </r>
  <r>
    <s v="I132"/>
    <s v="Chair"/>
    <x v="1"/>
    <x v="1"/>
    <x v="131"/>
    <n v="0"/>
    <n v="10"/>
    <n v="17080"/>
    <n v="-2520"/>
    <n v="30"/>
    <x v="1"/>
    <n v="0"/>
  </r>
  <r>
    <s v="I133"/>
    <s v="Laptop"/>
    <x v="0"/>
    <x v="0"/>
    <x v="132"/>
    <n v="0"/>
    <n v="10"/>
    <n v="17210"/>
    <n v="-2540"/>
    <n v="30"/>
    <x v="1"/>
    <n v="0"/>
  </r>
  <r>
    <s v="I134"/>
    <s v="Chair"/>
    <x v="1"/>
    <x v="1"/>
    <x v="133"/>
    <n v="0"/>
    <n v="10"/>
    <n v="17340"/>
    <n v="-2560"/>
    <n v="30"/>
    <x v="1"/>
    <n v="0"/>
  </r>
  <r>
    <s v="I135"/>
    <s v="Laptop"/>
    <x v="0"/>
    <x v="0"/>
    <x v="134"/>
    <n v="0"/>
    <n v="10"/>
    <n v="17470"/>
    <n v="-2580"/>
    <n v="30"/>
    <x v="1"/>
    <n v="0"/>
  </r>
  <r>
    <s v="I136"/>
    <s v="Chair"/>
    <x v="1"/>
    <x v="1"/>
    <x v="135"/>
    <n v="0"/>
    <n v="10"/>
    <n v="17600"/>
    <n v="-2600"/>
    <n v="30"/>
    <x v="1"/>
    <n v="0"/>
  </r>
  <r>
    <s v="I137"/>
    <s v="Laptop"/>
    <x v="0"/>
    <x v="0"/>
    <x v="136"/>
    <n v="0"/>
    <n v="10"/>
    <n v="17730"/>
    <n v="-2620"/>
    <n v="30"/>
    <x v="1"/>
    <n v="0"/>
  </r>
  <r>
    <s v="I138"/>
    <s v="Chair"/>
    <x v="1"/>
    <x v="1"/>
    <x v="137"/>
    <n v="0"/>
    <n v="10"/>
    <n v="17860"/>
    <n v="-2640"/>
    <n v="30"/>
    <x v="1"/>
    <n v="0"/>
  </r>
  <r>
    <s v="I139"/>
    <s v="Laptop"/>
    <x v="0"/>
    <x v="0"/>
    <x v="138"/>
    <n v="0"/>
    <n v="10"/>
    <n v="17990"/>
    <n v="-2660"/>
    <n v="30"/>
    <x v="1"/>
    <n v="0"/>
  </r>
  <r>
    <s v="I140"/>
    <s v="Chair"/>
    <x v="1"/>
    <x v="1"/>
    <x v="139"/>
    <n v="0"/>
    <n v="10"/>
    <n v="18120"/>
    <n v="-2680"/>
    <n v="30"/>
    <x v="1"/>
    <n v="0"/>
  </r>
  <r>
    <s v="I141"/>
    <s v="Laptop"/>
    <x v="0"/>
    <x v="0"/>
    <x v="140"/>
    <n v="0"/>
    <n v="10"/>
    <n v="18250"/>
    <n v="-2700"/>
    <n v="30"/>
    <x v="1"/>
    <n v="0"/>
  </r>
  <r>
    <s v="I142"/>
    <s v="Chair"/>
    <x v="1"/>
    <x v="1"/>
    <x v="141"/>
    <n v="0"/>
    <n v="10"/>
    <n v="18380"/>
    <n v="-2720"/>
    <n v="30"/>
    <x v="1"/>
    <n v="0"/>
  </r>
  <r>
    <s v="I143"/>
    <s v="Laptop"/>
    <x v="0"/>
    <x v="0"/>
    <x v="142"/>
    <n v="0"/>
    <n v="10"/>
    <n v="18510"/>
    <n v="-2740"/>
    <n v="30"/>
    <x v="1"/>
    <n v="0"/>
  </r>
  <r>
    <s v="I144"/>
    <s v="Chair"/>
    <x v="1"/>
    <x v="1"/>
    <x v="143"/>
    <n v="0"/>
    <n v="10"/>
    <n v="18640"/>
    <n v="-2760"/>
    <n v="30"/>
    <x v="1"/>
    <n v="0"/>
  </r>
  <r>
    <s v="I145"/>
    <s v="Laptop"/>
    <x v="0"/>
    <x v="0"/>
    <x v="144"/>
    <n v="0"/>
    <n v="10"/>
    <n v="18770"/>
    <n v="-2780"/>
    <n v="30"/>
    <x v="1"/>
    <n v="0"/>
  </r>
  <r>
    <s v="I146"/>
    <s v="Chair"/>
    <x v="1"/>
    <x v="1"/>
    <x v="145"/>
    <n v="0"/>
    <n v="10"/>
    <n v="18900"/>
    <n v="-2800"/>
    <n v="30"/>
    <x v="1"/>
    <n v="0"/>
  </r>
  <r>
    <s v="I147"/>
    <s v="Laptop"/>
    <x v="0"/>
    <x v="0"/>
    <x v="146"/>
    <n v="0"/>
    <n v="10"/>
    <n v="19030"/>
    <n v="-2820"/>
    <n v="30"/>
    <x v="1"/>
    <n v="0"/>
  </r>
  <r>
    <s v="I148"/>
    <s v="Chair"/>
    <x v="1"/>
    <x v="1"/>
    <x v="147"/>
    <n v="0"/>
    <n v="10"/>
    <n v="19160"/>
    <n v="-2840"/>
    <n v="30"/>
    <x v="1"/>
    <n v="0"/>
  </r>
  <r>
    <s v="I149"/>
    <s v="Laptop"/>
    <x v="0"/>
    <x v="0"/>
    <x v="148"/>
    <n v="0"/>
    <n v="10"/>
    <n v="19290"/>
    <n v="-2860"/>
    <n v="30"/>
    <x v="1"/>
    <n v="0"/>
  </r>
  <r>
    <s v="I150"/>
    <s v="Chair"/>
    <x v="1"/>
    <x v="1"/>
    <x v="149"/>
    <n v="0"/>
    <n v="10"/>
    <n v="19420"/>
    <n v="-2880"/>
    <n v="30"/>
    <x v="1"/>
    <n v="0"/>
  </r>
  <r>
    <s v="I151"/>
    <s v="Laptop"/>
    <x v="0"/>
    <x v="0"/>
    <x v="150"/>
    <n v="0"/>
    <n v="10"/>
    <n v="19550"/>
    <n v="-2900"/>
    <n v="30"/>
    <x v="1"/>
    <n v="0"/>
  </r>
  <r>
    <s v="I152"/>
    <s v="Chair"/>
    <x v="1"/>
    <x v="1"/>
    <x v="151"/>
    <n v="0"/>
    <n v="10"/>
    <n v="19680"/>
    <n v="-2920"/>
    <n v="30"/>
    <x v="1"/>
    <n v="0"/>
  </r>
  <r>
    <s v="I153"/>
    <s v="Laptop"/>
    <x v="0"/>
    <x v="0"/>
    <x v="152"/>
    <n v="0"/>
    <n v="10"/>
    <n v="19810"/>
    <n v="-2940"/>
    <n v="30"/>
    <x v="1"/>
    <n v="0"/>
  </r>
  <r>
    <s v="I154"/>
    <s v="Chair"/>
    <x v="1"/>
    <x v="1"/>
    <x v="153"/>
    <n v="0"/>
    <n v="10"/>
    <n v="19940"/>
    <n v="-2960"/>
    <n v="30"/>
    <x v="1"/>
    <n v="0"/>
  </r>
  <r>
    <s v="I155"/>
    <s v="Laptop"/>
    <x v="0"/>
    <x v="0"/>
    <x v="154"/>
    <n v="0"/>
    <n v="10"/>
    <n v="20070"/>
    <n v="-2980"/>
    <n v="30"/>
    <x v="1"/>
    <n v="0"/>
  </r>
  <r>
    <s v="I156"/>
    <s v="Chair"/>
    <x v="1"/>
    <x v="1"/>
    <x v="155"/>
    <n v="0"/>
    <n v="10"/>
    <n v="20200"/>
    <n v="-3000"/>
    <n v="30"/>
    <x v="1"/>
    <n v="0"/>
  </r>
  <r>
    <s v="I157"/>
    <s v="Laptop"/>
    <x v="0"/>
    <x v="0"/>
    <x v="156"/>
    <n v="0"/>
    <n v="10"/>
    <n v="20330"/>
    <n v="-3020"/>
    <n v="30"/>
    <x v="1"/>
    <n v="0"/>
  </r>
  <r>
    <s v="I158"/>
    <s v="Chair"/>
    <x v="1"/>
    <x v="1"/>
    <x v="157"/>
    <n v="0"/>
    <n v="10"/>
    <n v="20460"/>
    <n v="-3040"/>
    <n v="30"/>
    <x v="1"/>
    <n v="0"/>
  </r>
  <r>
    <s v="I159"/>
    <s v="Laptop"/>
    <x v="0"/>
    <x v="0"/>
    <x v="158"/>
    <n v="0"/>
    <n v="10"/>
    <n v="20590"/>
    <n v="-3060"/>
    <n v="30"/>
    <x v="1"/>
    <n v="0"/>
  </r>
  <r>
    <s v="I160"/>
    <s v="Chair"/>
    <x v="1"/>
    <x v="1"/>
    <x v="159"/>
    <n v="0"/>
    <n v="10"/>
    <n v="20720"/>
    <n v="-3080"/>
    <n v="30"/>
    <x v="1"/>
    <n v="0"/>
  </r>
  <r>
    <s v="I161"/>
    <s v="Laptop"/>
    <x v="0"/>
    <x v="0"/>
    <x v="160"/>
    <n v="0"/>
    <n v="10"/>
    <n v="20850"/>
    <n v="-3100"/>
    <n v="30"/>
    <x v="1"/>
    <n v="0"/>
  </r>
  <r>
    <s v="I162"/>
    <s v="Chair"/>
    <x v="1"/>
    <x v="1"/>
    <x v="161"/>
    <n v="0"/>
    <n v="10"/>
    <n v="20980"/>
    <n v="-3120"/>
    <n v="30"/>
    <x v="1"/>
    <n v="0"/>
  </r>
  <r>
    <s v="I163"/>
    <s v="Laptop"/>
    <x v="0"/>
    <x v="0"/>
    <x v="162"/>
    <n v="0"/>
    <n v="10"/>
    <n v="21110"/>
    <n v="-3140"/>
    <n v="30"/>
    <x v="1"/>
    <n v="0"/>
  </r>
  <r>
    <s v="I164"/>
    <s v="Chair"/>
    <x v="1"/>
    <x v="1"/>
    <x v="163"/>
    <n v="0"/>
    <n v="10"/>
    <n v="21240"/>
    <n v="-3160"/>
    <n v="30"/>
    <x v="1"/>
    <n v="0"/>
  </r>
  <r>
    <s v="I165"/>
    <s v="Laptop"/>
    <x v="0"/>
    <x v="0"/>
    <x v="164"/>
    <n v="0"/>
    <n v="10"/>
    <n v="21370"/>
    <n v="-3180"/>
    <n v="30"/>
    <x v="1"/>
    <n v="0"/>
  </r>
  <r>
    <s v="I166"/>
    <s v="Chair"/>
    <x v="1"/>
    <x v="1"/>
    <x v="165"/>
    <n v="0"/>
    <n v="10"/>
    <n v="21500"/>
    <n v="-3200"/>
    <n v="30"/>
    <x v="1"/>
    <n v="0"/>
  </r>
  <r>
    <s v="I167"/>
    <s v="Laptop"/>
    <x v="0"/>
    <x v="0"/>
    <x v="166"/>
    <n v="0"/>
    <n v="10"/>
    <n v="21630"/>
    <n v="-3220"/>
    <n v="30"/>
    <x v="1"/>
    <n v="0"/>
  </r>
  <r>
    <s v="I168"/>
    <s v="Chair"/>
    <x v="1"/>
    <x v="1"/>
    <x v="167"/>
    <n v="0"/>
    <n v="10"/>
    <n v="21760"/>
    <n v="-3240"/>
    <n v="30"/>
    <x v="1"/>
    <n v="0"/>
  </r>
  <r>
    <s v="I169"/>
    <s v="Laptop"/>
    <x v="0"/>
    <x v="0"/>
    <x v="168"/>
    <n v="0"/>
    <n v="10"/>
    <n v="21890"/>
    <n v="-3260"/>
    <n v="30"/>
    <x v="1"/>
    <n v="0"/>
  </r>
  <r>
    <s v="I170"/>
    <s v="Chair"/>
    <x v="1"/>
    <x v="1"/>
    <x v="169"/>
    <n v="0"/>
    <n v="10"/>
    <n v="22020"/>
    <n v="-3280"/>
    <n v="30"/>
    <x v="1"/>
    <n v="0"/>
  </r>
  <r>
    <s v="I171"/>
    <s v="Laptop"/>
    <x v="0"/>
    <x v="0"/>
    <x v="170"/>
    <n v="0"/>
    <n v="10"/>
    <n v="22150"/>
    <n v="-3300"/>
    <n v="30"/>
    <x v="1"/>
    <n v="0"/>
  </r>
  <r>
    <s v="I172"/>
    <s v="Chair"/>
    <x v="1"/>
    <x v="1"/>
    <x v="171"/>
    <n v="0"/>
    <n v="10"/>
    <n v="22280"/>
    <n v="-3320"/>
    <n v="30"/>
    <x v="1"/>
    <n v="0"/>
  </r>
  <r>
    <s v="I173"/>
    <s v="Laptop"/>
    <x v="0"/>
    <x v="0"/>
    <x v="172"/>
    <n v="0"/>
    <n v="10"/>
    <n v="22410"/>
    <n v="-3340"/>
    <n v="30"/>
    <x v="1"/>
    <n v="0"/>
  </r>
  <r>
    <s v="I174"/>
    <s v="Chair"/>
    <x v="1"/>
    <x v="1"/>
    <x v="173"/>
    <n v="0"/>
    <n v="10"/>
    <n v="22540"/>
    <n v="-3360"/>
    <n v="30"/>
    <x v="1"/>
    <n v="0"/>
  </r>
  <r>
    <s v="I175"/>
    <s v="Laptop"/>
    <x v="0"/>
    <x v="0"/>
    <x v="174"/>
    <n v="0"/>
    <n v="10"/>
    <n v="22670"/>
    <n v="-3380"/>
    <n v="30"/>
    <x v="1"/>
    <n v="0"/>
  </r>
  <r>
    <s v="I176"/>
    <s v="Chair"/>
    <x v="1"/>
    <x v="1"/>
    <x v="175"/>
    <n v="0"/>
    <n v="10"/>
    <n v="22800"/>
    <n v="-3400"/>
    <n v="30"/>
    <x v="1"/>
    <n v="0"/>
  </r>
  <r>
    <s v="I177"/>
    <s v="Laptop"/>
    <x v="0"/>
    <x v="0"/>
    <x v="176"/>
    <n v="0"/>
    <n v="10"/>
    <n v="22930"/>
    <n v="-3420"/>
    <n v="30"/>
    <x v="1"/>
    <n v="0"/>
  </r>
  <r>
    <s v="I178"/>
    <s v="Chair"/>
    <x v="1"/>
    <x v="1"/>
    <x v="177"/>
    <n v="0"/>
    <n v="10"/>
    <n v="23060"/>
    <n v="-3440"/>
    <n v="30"/>
    <x v="1"/>
    <n v="0"/>
  </r>
  <r>
    <s v="I179"/>
    <s v="Laptop"/>
    <x v="0"/>
    <x v="0"/>
    <x v="178"/>
    <n v="0"/>
    <n v="10"/>
    <n v="23190"/>
    <n v="-3460"/>
    <n v="30"/>
    <x v="1"/>
    <n v="0"/>
  </r>
  <r>
    <s v="I180"/>
    <s v="Chair"/>
    <x v="1"/>
    <x v="1"/>
    <x v="179"/>
    <n v="0"/>
    <n v="10"/>
    <n v="23320"/>
    <n v="-3480"/>
    <n v="30"/>
    <x v="1"/>
    <n v="0"/>
  </r>
  <r>
    <s v="I181"/>
    <s v="Laptop"/>
    <x v="0"/>
    <x v="0"/>
    <x v="180"/>
    <n v="0"/>
    <n v="10"/>
    <n v="23450"/>
    <n v="-3500"/>
    <n v="30"/>
    <x v="1"/>
    <n v="0"/>
  </r>
  <r>
    <s v="I182"/>
    <s v="Chair"/>
    <x v="1"/>
    <x v="1"/>
    <x v="181"/>
    <n v="0"/>
    <n v="10"/>
    <n v="23580"/>
    <n v="-3520"/>
    <n v="30"/>
    <x v="1"/>
    <n v="0"/>
  </r>
  <r>
    <s v="I183"/>
    <s v="Laptop"/>
    <x v="0"/>
    <x v="0"/>
    <x v="182"/>
    <n v="0"/>
    <n v="10"/>
    <n v="23710"/>
    <n v="-3540"/>
    <n v="30"/>
    <x v="1"/>
    <n v="0"/>
  </r>
  <r>
    <s v="I184"/>
    <s v="Chair"/>
    <x v="1"/>
    <x v="1"/>
    <x v="183"/>
    <n v="0"/>
    <n v="10"/>
    <n v="23840"/>
    <n v="-3560"/>
    <n v="30"/>
    <x v="1"/>
    <n v="0"/>
  </r>
  <r>
    <s v="I185"/>
    <s v="Laptop"/>
    <x v="0"/>
    <x v="0"/>
    <x v="184"/>
    <n v="0"/>
    <n v="10"/>
    <n v="23970"/>
    <n v="-3580"/>
    <n v="30"/>
    <x v="1"/>
    <n v="0"/>
  </r>
  <r>
    <s v="I186"/>
    <s v="Chair"/>
    <x v="1"/>
    <x v="1"/>
    <x v="185"/>
    <n v="0"/>
    <n v="10"/>
    <n v="24100"/>
    <n v="-3600"/>
    <n v="30"/>
    <x v="1"/>
    <n v="0"/>
  </r>
  <r>
    <s v="I187"/>
    <s v="Laptop"/>
    <x v="0"/>
    <x v="0"/>
    <x v="186"/>
    <n v="0"/>
    <n v="10"/>
    <n v="24230"/>
    <n v="-3620"/>
    <n v="30"/>
    <x v="1"/>
    <n v="0"/>
  </r>
  <r>
    <s v="I188"/>
    <s v="Chair"/>
    <x v="1"/>
    <x v="1"/>
    <x v="187"/>
    <n v="0"/>
    <n v="10"/>
    <n v="24360"/>
    <n v="-3640"/>
    <n v="30"/>
    <x v="1"/>
    <n v="0"/>
  </r>
  <r>
    <s v="I189"/>
    <s v="Laptop"/>
    <x v="0"/>
    <x v="0"/>
    <x v="188"/>
    <n v="0"/>
    <n v="10"/>
    <n v="24490"/>
    <n v="-3660"/>
    <n v="30"/>
    <x v="1"/>
    <n v="0"/>
  </r>
  <r>
    <s v="I190"/>
    <s v="Chair"/>
    <x v="1"/>
    <x v="1"/>
    <x v="189"/>
    <n v="0"/>
    <n v="10"/>
    <n v="24620"/>
    <n v="-3680"/>
    <n v="30"/>
    <x v="1"/>
    <n v="0"/>
  </r>
  <r>
    <s v="I191"/>
    <s v="Laptop"/>
    <x v="0"/>
    <x v="0"/>
    <x v="190"/>
    <n v="0"/>
    <n v="10"/>
    <n v="24750"/>
    <n v="-3700"/>
    <n v="30"/>
    <x v="1"/>
    <n v="0"/>
  </r>
  <r>
    <s v="I192"/>
    <s v="Chair"/>
    <x v="1"/>
    <x v="1"/>
    <x v="191"/>
    <n v="0"/>
    <n v="10"/>
    <n v="24880"/>
    <n v="-3720"/>
    <n v="30"/>
    <x v="1"/>
    <n v="0"/>
  </r>
  <r>
    <s v="I193"/>
    <s v="Laptop"/>
    <x v="0"/>
    <x v="0"/>
    <x v="192"/>
    <n v="0"/>
    <n v="10"/>
    <n v="25010"/>
    <n v="-3740"/>
    <n v="30"/>
    <x v="1"/>
    <n v="0"/>
  </r>
  <r>
    <s v="I194"/>
    <s v="Chair"/>
    <x v="1"/>
    <x v="1"/>
    <x v="193"/>
    <n v="0"/>
    <n v="10"/>
    <n v="25140"/>
    <n v="-3760"/>
    <n v="30"/>
    <x v="1"/>
    <n v="0"/>
  </r>
  <r>
    <s v="I195"/>
    <s v="Laptop"/>
    <x v="0"/>
    <x v="0"/>
    <x v="194"/>
    <n v="0"/>
    <n v="10"/>
    <n v="25270"/>
    <n v="-3780"/>
    <n v="30"/>
    <x v="1"/>
    <n v="0"/>
  </r>
  <r>
    <s v="I196"/>
    <s v="Chair"/>
    <x v="1"/>
    <x v="1"/>
    <x v="195"/>
    <n v="0"/>
    <n v="10"/>
    <n v="25400"/>
    <n v="-3800"/>
    <n v="30"/>
    <x v="1"/>
    <n v="0"/>
  </r>
  <r>
    <s v="I197"/>
    <s v="Laptop"/>
    <x v="0"/>
    <x v="0"/>
    <x v="196"/>
    <n v="0"/>
    <n v="10"/>
    <n v="25530"/>
    <n v="-3820"/>
    <n v="30"/>
    <x v="1"/>
    <n v="0"/>
  </r>
  <r>
    <s v="I198"/>
    <s v="Chair"/>
    <x v="1"/>
    <x v="1"/>
    <x v="197"/>
    <n v="0"/>
    <n v="10"/>
    <n v="25660"/>
    <n v="-3840"/>
    <n v="30"/>
    <x v="1"/>
    <n v="0"/>
  </r>
  <r>
    <s v="I199"/>
    <s v="Laptop"/>
    <x v="0"/>
    <x v="0"/>
    <x v="198"/>
    <n v="0"/>
    <n v="10"/>
    <n v="25790"/>
    <n v="-3860"/>
    <e v="#REF!"/>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2929EF-1048-401D-8CD4-E5CF788DD5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1:K2" firstHeaderRow="1" firstDataRow="1" firstDataCol="0"/>
  <pivotFields count="12">
    <pivotField showAll="0"/>
    <pivotField showAll="0"/>
    <pivotField showAll="0">
      <items count="3">
        <item x="0"/>
        <item h="1" x="1"/>
        <item t="default"/>
      </items>
    </pivotField>
    <pivotField showAll="0">
      <items count="3">
        <item x="0"/>
        <item h="1" x="1"/>
        <item t="default"/>
      </items>
    </pivotField>
    <pivotField showAll="0">
      <items count="200">
        <item h="1" x="0"/>
        <item h="1" x="9"/>
        <item h="1" x="99"/>
        <item h="1" x="100"/>
        <item h="1" x="101"/>
        <item x="102"/>
        <item x="103"/>
        <item h="1" x="104"/>
        <item h="1" x="105"/>
        <item h="1" x="106"/>
        <item h="1" x="107"/>
        <item h="1" x="108"/>
        <item h="1" x="10"/>
        <item h="1" x="109"/>
        <item h="1" x="110"/>
        <item h="1" x="111"/>
        <item h="1" x="112"/>
        <item h="1" x="113"/>
        <item h="1" x="114"/>
        <item h="1" x="115"/>
        <item h="1" x="116"/>
        <item h="1" x="117"/>
        <item h="1" x="118"/>
        <item h="1" x="11"/>
        <item h="1" x="11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20"/>
        <item h="1" x="21"/>
        <item h="1" x="22"/>
        <item h="1" x="23"/>
        <item h="1" x="24"/>
        <item h="1" x="25"/>
        <item h="1" x="26"/>
        <item h="1" x="27"/>
        <item h="1" x="28"/>
        <item h="1" x="2"/>
        <item h="1" x="29"/>
        <item h="1" x="30"/>
        <item h="1" x="31"/>
        <item h="1" x="32"/>
        <item h="1" x="33"/>
        <item h="1" x="34"/>
        <item h="1" x="35"/>
        <item h="1" x="36"/>
        <item h="1" x="37"/>
        <item h="1" x="38"/>
        <item h="1" x="3"/>
        <item h="1" x="39"/>
        <item h="1" x="40"/>
        <item h="1" x="41"/>
        <item h="1" x="42"/>
        <item h="1" x="43"/>
        <item h="1" x="44"/>
        <item h="1" x="45"/>
        <item h="1" x="46"/>
        <item h="1" x="47"/>
        <item h="1" x="48"/>
        <item h="1" x="4"/>
        <item h="1" x="49"/>
        <item h="1" x="50"/>
        <item h="1" x="51"/>
        <item h="1" x="52"/>
        <item h="1" x="53"/>
        <item h="1" x="54"/>
        <item h="1" x="55"/>
        <item h="1" x="56"/>
        <item h="1" x="57"/>
        <item h="1" x="58"/>
        <item h="1" x="5"/>
        <item h="1" x="59"/>
        <item h="1" x="60"/>
        <item h="1" x="61"/>
        <item h="1" x="62"/>
        <item h="1" x="63"/>
        <item h="1" x="64"/>
        <item h="1" x="65"/>
        <item h="1" x="66"/>
        <item h="1" x="67"/>
        <item h="1" x="68"/>
        <item h="1" x="6"/>
        <item h="1" x="69"/>
        <item h="1" x="70"/>
        <item h="1" x="71"/>
        <item h="1" x="72"/>
        <item h="1" x="73"/>
        <item h="1" x="74"/>
        <item h="1" x="75"/>
        <item h="1" x="76"/>
        <item h="1" x="77"/>
        <item h="1" x="78"/>
        <item h="1" x="7"/>
        <item h="1" x="79"/>
        <item h="1" x="80"/>
        <item h="1" x="81"/>
        <item h="1" x="82"/>
        <item h="1" x="83"/>
        <item h="1" x="84"/>
        <item h="1" x="85"/>
        <item h="1" x="86"/>
        <item h="1" x="87"/>
        <item h="1" x="88"/>
        <item h="1" x="8"/>
        <item h="1" x="89"/>
        <item h="1" x="90"/>
        <item h="1" x="91"/>
        <item h="1" x="92"/>
        <item h="1" x="93"/>
        <item h="1" x="94"/>
        <item h="1" x="95"/>
        <item h="1" x="96"/>
        <item h="1" x="97"/>
        <item h="1" x="98"/>
        <item t="default"/>
      </items>
    </pivotField>
    <pivotField showAll="0"/>
    <pivotField showAll="0"/>
    <pivotField showAll="0"/>
    <pivotField showAll="0"/>
    <pivotField showAll="0"/>
    <pivotField showAll="0">
      <items count="3">
        <item x="1"/>
        <item h="1" x="0"/>
        <item t="default"/>
      </items>
    </pivotField>
    <pivotField dataField="1" showAll="0"/>
  </pivotFields>
  <rowItems count="1">
    <i/>
  </rowItems>
  <colItems count="1">
    <i/>
  </colItems>
  <dataFields count="1">
    <dataField name="Average of Inventory_Turnover"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FFAD0A-C26D-4F25-9F10-A6CD3958CF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3:F4" firstHeaderRow="1" firstDataRow="1" firstDataCol="0" rowPageCount="1" colPageCount="1"/>
  <pivotFields count="12">
    <pivotField dataField="1" showAll="0"/>
    <pivotField showAll="0"/>
    <pivotField showAll="0">
      <items count="3">
        <item x="0"/>
        <item h="1" x="1"/>
        <item t="default"/>
      </items>
    </pivotField>
    <pivotField showAll="0">
      <items count="3">
        <item x="0"/>
        <item h="1" x="1"/>
        <item t="default"/>
      </items>
    </pivotField>
    <pivotField showAll="0">
      <items count="200">
        <item h="1" x="0"/>
        <item h="1" x="9"/>
        <item h="1" x="99"/>
        <item h="1" x="100"/>
        <item h="1" x="101"/>
        <item x="102"/>
        <item x="103"/>
        <item h="1" x="104"/>
        <item h="1" x="105"/>
        <item h="1" x="106"/>
        <item h="1" x="107"/>
        <item h="1" x="108"/>
        <item h="1" x="10"/>
        <item h="1" x="109"/>
        <item h="1" x="110"/>
        <item h="1" x="111"/>
        <item h="1" x="112"/>
        <item h="1" x="113"/>
        <item h="1" x="114"/>
        <item h="1" x="115"/>
        <item h="1" x="116"/>
        <item h="1" x="117"/>
        <item h="1" x="118"/>
        <item h="1" x="11"/>
        <item h="1" x="11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20"/>
        <item h="1" x="21"/>
        <item h="1" x="22"/>
        <item h="1" x="23"/>
        <item h="1" x="24"/>
        <item h="1" x="25"/>
        <item h="1" x="26"/>
        <item h="1" x="27"/>
        <item h="1" x="28"/>
        <item h="1" x="2"/>
        <item h="1" x="29"/>
        <item h="1" x="30"/>
        <item h="1" x="31"/>
        <item h="1" x="32"/>
        <item h="1" x="33"/>
        <item h="1" x="34"/>
        <item h="1" x="35"/>
        <item h="1" x="36"/>
        <item h="1" x="37"/>
        <item h="1" x="38"/>
        <item h="1" x="3"/>
        <item h="1" x="39"/>
        <item h="1" x="40"/>
        <item h="1" x="41"/>
        <item h="1" x="42"/>
        <item h="1" x="43"/>
        <item h="1" x="44"/>
        <item h="1" x="45"/>
        <item h="1" x="46"/>
        <item h="1" x="47"/>
        <item h="1" x="48"/>
        <item h="1" x="4"/>
        <item h="1" x="49"/>
        <item h="1" x="50"/>
        <item h="1" x="51"/>
        <item h="1" x="52"/>
        <item h="1" x="53"/>
        <item h="1" x="54"/>
        <item h="1" x="55"/>
        <item h="1" x="56"/>
        <item h="1" x="57"/>
        <item h="1" x="58"/>
        <item h="1" x="5"/>
        <item h="1" x="59"/>
        <item h="1" x="60"/>
        <item h="1" x="61"/>
        <item h="1" x="62"/>
        <item h="1" x="63"/>
        <item h="1" x="64"/>
        <item h="1" x="65"/>
        <item h="1" x="66"/>
        <item h="1" x="67"/>
        <item h="1" x="68"/>
        <item h="1" x="6"/>
        <item h="1" x="69"/>
        <item h="1" x="70"/>
        <item h="1" x="71"/>
        <item h="1" x="72"/>
        <item h="1" x="73"/>
        <item h="1" x="74"/>
        <item h="1" x="75"/>
        <item h="1" x="76"/>
        <item h="1" x="77"/>
        <item h="1" x="78"/>
        <item h="1" x="7"/>
        <item h="1" x="79"/>
        <item h="1" x="80"/>
        <item h="1" x="81"/>
        <item h="1" x="82"/>
        <item h="1" x="83"/>
        <item h="1" x="84"/>
        <item h="1" x="85"/>
        <item h="1" x="86"/>
        <item h="1" x="87"/>
        <item h="1" x="88"/>
        <item h="1" x="8"/>
        <item h="1" x="89"/>
        <item h="1" x="90"/>
        <item h="1" x="91"/>
        <item h="1" x="92"/>
        <item h="1" x="93"/>
        <item h="1" x="94"/>
        <item h="1" x="95"/>
        <item h="1" x="96"/>
        <item h="1" x="97"/>
        <item h="1" x="98"/>
        <item t="default"/>
      </items>
    </pivotField>
    <pivotField showAll="0"/>
    <pivotField showAll="0"/>
    <pivotField showAll="0"/>
    <pivotField showAll="0"/>
    <pivotField showAll="0"/>
    <pivotField axis="axisPage" showAll="0">
      <items count="3">
        <item x="1"/>
        <item x="0"/>
        <item t="default"/>
      </items>
    </pivotField>
    <pivotField showAll="0"/>
  </pivotFields>
  <rowItems count="1">
    <i/>
  </rowItems>
  <colItems count="1">
    <i/>
  </colItems>
  <pageFields count="1">
    <pageField fld="10" item="0" hier="-1"/>
  </pageFields>
  <dataFields count="1">
    <dataField name="Count of Item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9445F8-3C0B-4FCD-A605-89C96874CE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M2" firstHeaderRow="1" firstDataRow="1" firstDataCol="0"/>
  <pivotFields count="12">
    <pivotField showAll="0"/>
    <pivotField showAll="0"/>
    <pivotField showAll="0">
      <items count="3">
        <item x="0"/>
        <item h="1" x="1"/>
        <item t="default"/>
      </items>
    </pivotField>
    <pivotField showAll="0">
      <items count="3">
        <item x="0"/>
        <item h="1" x="1"/>
        <item t="default"/>
      </items>
    </pivotField>
    <pivotField showAll="0">
      <items count="200">
        <item h="1" x="0"/>
        <item h="1" x="9"/>
        <item h="1" x="99"/>
        <item h="1" x="100"/>
        <item h="1" x="101"/>
        <item x="102"/>
        <item x="103"/>
        <item h="1" x="104"/>
        <item h="1" x="105"/>
        <item h="1" x="106"/>
        <item h="1" x="107"/>
        <item h="1" x="108"/>
        <item h="1" x="10"/>
        <item h="1" x="109"/>
        <item h="1" x="110"/>
        <item h="1" x="111"/>
        <item h="1" x="112"/>
        <item h="1" x="113"/>
        <item h="1" x="114"/>
        <item h="1" x="115"/>
        <item h="1" x="116"/>
        <item h="1" x="117"/>
        <item h="1" x="118"/>
        <item h="1" x="11"/>
        <item h="1" x="11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20"/>
        <item h="1" x="21"/>
        <item h="1" x="22"/>
        <item h="1" x="23"/>
        <item h="1" x="24"/>
        <item h="1" x="25"/>
        <item h="1" x="26"/>
        <item h="1" x="27"/>
        <item h="1" x="28"/>
        <item h="1" x="2"/>
        <item h="1" x="29"/>
        <item h="1" x="30"/>
        <item h="1" x="31"/>
        <item h="1" x="32"/>
        <item h="1" x="33"/>
        <item h="1" x="34"/>
        <item h="1" x="35"/>
        <item h="1" x="36"/>
        <item h="1" x="37"/>
        <item h="1" x="38"/>
        <item h="1" x="3"/>
        <item h="1" x="39"/>
        <item h="1" x="40"/>
        <item h="1" x="41"/>
        <item h="1" x="42"/>
        <item h="1" x="43"/>
        <item h="1" x="44"/>
        <item h="1" x="45"/>
        <item h="1" x="46"/>
        <item h="1" x="47"/>
        <item h="1" x="48"/>
        <item h="1" x="4"/>
        <item h="1" x="49"/>
        <item h="1" x="50"/>
        <item h="1" x="51"/>
        <item h="1" x="52"/>
        <item h="1" x="53"/>
        <item h="1" x="54"/>
        <item h="1" x="55"/>
        <item h="1" x="56"/>
        <item h="1" x="57"/>
        <item h="1" x="58"/>
        <item h="1" x="5"/>
        <item h="1" x="59"/>
        <item h="1" x="60"/>
        <item h="1" x="61"/>
        <item h="1" x="62"/>
        <item h="1" x="63"/>
        <item h="1" x="64"/>
        <item h="1" x="65"/>
        <item h="1" x="66"/>
        <item h="1" x="67"/>
        <item h="1" x="68"/>
        <item h="1" x="6"/>
        <item h="1" x="69"/>
        <item h="1" x="70"/>
        <item h="1" x="71"/>
        <item h="1" x="72"/>
        <item h="1" x="73"/>
        <item h="1" x="74"/>
        <item h="1" x="75"/>
        <item h="1" x="76"/>
        <item h="1" x="77"/>
        <item h="1" x="78"/>
        <item h="1" x="7"/>
        <item h="1" x="79"/>
        <item h="1" x="80"/>
        <item h="1" x="81"/>
        <item h="1" x="82"/>
        <item h="1" x="83"/>
        <item h="1" x="84"/>
        <item h="1" x="85"/>
        <item h="1" x="86"/>
        <item h="1" x="87"/>
        <item h="1" x="88"/>
        <item h="1" x="8"/>
        <item h="1" x="89"/>
        <item h="1" x="90"/>
        <item h="1" x="91"/>
        <item h="1" x="92"/>
        <item h="1" x="93"/>
        <item h="1" x="94"/>
        <item h="1" x="95"/>
        <item h="1" x="96"/>
        <item h="1" x="97"/>
        <item h="1" x="98"/>
        <item t="default"/>
      </items>
    </pivotField>
    <pivotField showAll="0"/>
    <pivotField showAll="0"/>
    <pivotField showAll="0"/>
    <pivotField showAll="0"/>
    <pivotField dataField="1" showAll="0"/>
    <pivotField showAll="0">
      <items count="3">
        <item x="1"/>
        <item h="1" x="0"/>
        <item t="default"/>
      </items>
    </pivotField>
    <pivotField showAll="0"/>
  </pivotFields>
  <rowItems count="1">
    <i/>
  </rowItems>
  <colItems count="1">
    <i/>
  </colItems>
  <dataFields count="1">
    <dataField name="Average of Lead_Time_Days"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C789FF-4E80-4F5C-8ECF-A7AD3F5D409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rowPageCount="1" colPageCount="1"/>
  <pivotFields count="12">
    <pivotField dataField="1" showAll="0"/>
    <pivotField showAll="0"/>
    <pivotField showAll="0">
      <items count="3">
        <item x="0"/>
        <item h="1" x="1"/>
        <item t="default"/>
      </items>
    </pivotField>
    <pivotField showAll="0">
      <items count="3">
        <item x="0"/>
        <item h="1" x="1"/>
        <item t="default"/>
      </items>
    </pivotField>
    <pivotField showAll="0"/>
    <pivotField showAll="0"/>
    <pivotField showAll="0"/>
    <pivotField showAll="0"/>
    <pivotField showAll="0"/>
    <pivotField showAll="0"/>
    <pivotField axis="axisPage" showAll="0">
      <items count="3">
        <item x="1"/>
        <item x="0"/>
        <item t="default"/>
      </items>
    </pivotField>
    <pivotField showAll="0"/>
  </pivotFields>
  <rowItems count="1">
    <i/>
  </rowItems>
  <colItems count="1">
    <i/>
  </colItems>
  <pageFields count="1">
    <pageField fld="10" item="0" hier="-1"/>
  </pageFields>
  <dataFields count="1">
    <dataField name="Count of Item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A9A773-2FEF-44BD-84B8-BD0E56EEBC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2">
    <pivotField dataField="1" showAll="0"/>
    <pivotField showAll="0"/>
    <pivotField showAll="0">
      <items count="3">
        <item x="0"/>
        <item h="1" x="1"/>
        <item t="default"/>
      </items>
    </pivotField>
    <pivotField showAll="0">
      <items count="3">
        <item x="0"/>
        <item h="1" x="1"/>
        <item t="default"/>
      </items>
    </pivotField>
    <pivotField showAll="0"/>
    <pivotField showAll="0"/>
    <pivotField showAll="0"/>
    <pivotField showAll="0"/>
    <pivotField showAll="0"/>
    <pivotField showAll="0"/>
    <pivotField showAll="0">
      <items count="3">
        <item x="1"/>
        <item h="1" x="0"/>
        <item t="default"/>
      </items>
    </pivotField>
    <pivotField showAll="0"/>
  </pivotFields>
  <rowItems count="1">
    <i/>
  </rowItems>
  <colItems count="1">
    <i/>
  </colItems>
  <dataFields count="1">
    <dataField name="Count of Item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3AFFD4-7CE1-4034-85B4-BD25A3C75D8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E3" firstHeaderRow="1" firstDataRow="1" firstDataCol="1"/>
  <pivotFields count="12">
    <pivotField showAll="0"/>
    <pivotField showAll="0"/>
    <pivotField axis="axisRow" showAll="0">
      <items count="3">
        <item x="0"/>
        <item h="1" x="1"/>
        <item t="default"/>
      </items>
    </pivotField>
    <pivotField showAll="0">
      <items count="3">
        <item x="0"/>
        <item h="1" x="1"/>
        <item t="default"/>
      </items>
    </pivotField>
    <pivotField showAll="0">
      <items count="200">
        <item h="1" x="0"/>
        <item h="1" x="9"/>
        <item h="1" x="99"/>
        <item h="1" x="100"/>
        <item h="1" x="101"/>
        <item x="102"/>
        <item x="103"/>
        <item h="1" x="104"/>
        <item h="1" x="105"/>
        <item h="1" x="106"/>
        <item h="1" x="107"/>
        <item h="1" x="108"/>
        <item h="1" x="10"/>
        <item h="1" x="109"/>
        <item h="1" x="110"/>
        <item h="1" x="111"/>
        <item h="1" x="112"/>
        <item h="1" x="113"/>
        <item h="1" x="114"/>
        <item h="1" x="115"/>
        <item h="1" x="116"/>
        <item h="1" x="117"/>
        <item h="1" x="118"/>
        <item h="1" x="11"/>
        <item h="1" x="11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20"/>
        <item h="1" x="21"/>
        <item h="1" x="22"/>
        <item h="1" x="23"/>
        <item h="1" x="24"/>
        <item h="1" x="25"/>
        <item h="1" x="26"/>
        <item h="1" x="27"/>
        <item h="1" x="28"/>
        <item h="1" x="2"/>
        <item h="1" x="29"/>
        <item h="1" x="30"/>
        <item h="1" x="31"/>
        <item h="1" x="32"/>
        <item h="1" x="33"/>
        <item h="1" x="34"/>
        <item h="1" x="35"/>
        <item h="1" x="36"/>
        <item h="1" x="37"/>
        <item h="1" x="38"/>
        <item h="1" x="3"/>
        <item h="1" x="39"/>
        <item h="1" x="40"/>
        <item h="1" x="41"/>
        <item h="1" x="42"/>
        <item h="1" x="43"/>
        <item h="1" x="44"/>
        <item h="1" x="45"/>
        <item h="1" x="46"/>
        <item h="1" x="47"/>
        <item h="1" x="48"/>
        <item h="1" x="4"/>
        <item h="1" x="49"/>
        <item h="1" x="50"/>
        <item h="1" x="51"/>
        <item h="1" x="52"/>
        <item h="1" x="53"/>
        <item h="1" x="54"/>
        <item h="1" x="55"/>
        <item h="1" x="56"/>
        <item h="1" x="57"/>
        <item h="1" x="58"/>
        <item h="1" x="5"/>
        <item h="1" x="59"/>
        <item h="1" x="60"/>
        <item h="1" x="61"/>
        <item h="1" x="62"/>
        <item h="1" x="63"/>
        <item h="1" x="64"/>
        <item h="1" x="65"/>
        <item h="1" x="66"/>
        <item h="1" x="67"/>
        <item h="1" x="68"/>
        <item h="1" x="6"/>
        <item h="1" x="69"/>
        <item h="1" x="70"/>
        <item h="1" x="71"/>
        <item h="1" x="72"/>
        <item h="1" x="73"/>
        <item h="1" x="74"/>
        <item h="1" x="75"/>
        <item h="1" x="76"/>
        <item h="1" x="77"/>
        <item h="1" x="78"/>
        <item h="1" x="7"/>
        <item h="1" x="79"/>
        <item h="1" x="80"/>
        <item h="1" x="81"/>
        <item h="1" x="82"/>
        <item h="1" x="83"/>
        <item h="1" x="84"/>
        <item h="1" x="85"/>
        <item h="1" x="86"/>
        <item h="1" x="87"/>
        <item h="1" x="88"/>
        <item h="1" x="8"/>
        <item h="1" x="89"/>
        <item h="1" x="90"/>
        <item h="1" x="91"/>
        <item h="1" x="92"/>
        <item h="1" x="93"/>
        <item h="1" x="94"/>
        <item h="1" x="95"/>
        <item h="1" x="96"/>
        <item h="1" x="97"/>
        <item h="1" x="98"/>
        <item t="default"/>
      </items>
    </pivotField>
    <pivotField showAll="0"/>
    <pivotField showAll="0"/>
    <pivotField dataField="1" showAll="0"/>
    <pivotField showAll="0"/>
    <pivotField showAll="0"/>
    <pivotField showAll="0">
      <items count="3">
        <item x="1"/>
        <item h="1" x="0"/>
        <item t="default"/>
      </items>
    </pivotField>
    <pivotField showAll="0"/>
  </pivotFields>
  <rowFields count="1">
    <field x="2"/>
  </rowFields>
  <rowItems count="2">
    <i>
      <x/>
    </i>
    <i t="grand">
      <x/>
    </i>
  </rowItems>
  <colItems count="1">
    <i/>
  </colItems>
  <dataFields count="1">
    <dataField name="Sum of Current_Stock"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EC76F3-2737-40F5-9879-549688CEC8B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3" firstHeaderRow="1" firstDataRow="1" firstDataCol="1"/>
  <pivotFields count="12">
    <pivotField dataField="1" showAll="0"/>
    <pivotField showAll="0"/>
    <pivotField showAll="0">
      <items count="3">
        <item x="0"/>
        <item h="1" x="1"/>
        <item t="default"/>
      </items>
    </pivotField>
    <pivotField showAll="0">
      <items count="3">
        <item x="0"/>
        <item h="1" x="1"/>
        <item t="default"/>
      </items>
    </pivotField>
    <pivotField showAll="0">
      <items count="200">
        <item h="1" x="0"/>
        <item h="1" x="9"/>
        <item h="1" x="99"/>
        <item h="1" x="100"/>
        <item h="1" x="101"/>
        <item x="102"/>
        <item x="103"/>
        <item h="1" x="104"/>
        <item h="1" x="105"/>
        <item h="1" x="106"/>
        <item h="1" x="107"/>
        <item h="1" x="108"/>
        <item h="1" x="10"/>
        <item h="1" x="109"/>
        <item h="1" x="110"/>
        <item h="1" x="111"/>
        <item h="1" x="112"/>
        <item h="1" x="113"/>
        <item h="1" x="114"/>
        <item h="1" x="115"/>
        <item h="1" x="116"/>
        <item h="1" x="117"/>
        <item h="1" x="118"/>
        <item h="1" x="11"/>
        <item h="1" x="11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20"/>
        <item h="1" x="21"/>
        <item h="1" x="22"/>
        <item h="1" x="23"/>
        <item h="1" x="24"/>
        <item h="1" x="25"/>
        <item h="1" x="26"/>
        <item h="1" x="27"/>
        <item h="1" x="28"/>
        <item h="1" x="2"/>
        <item h="1" x="29"/>
        <item h="1" x="30"/>
        <item h="1" x="31"/>
        <item h="1" x="32"/>
        <item h="1" x="33"/>
        <item h="1" x="34"/>
        <item h="1" x="35"/>
        <item h="1" x="36"/>
        <item h="1" x="37"/>
        <item h="1" x="38"/>
        <item h="1" x="3"/>
        <item h="1" x="39"/>
        <item h="1" x="40"/>
        <item h="1" x="41"/>
        <item h="1" x="42"/>
        <item h="1" x="43"/>
        <item h="1" x="44"/>
        <item h="1" x="45"/>
        <item h="1" x="46"/>
        <item h="1" x="47"/>
        <item h="1" x="48"/>
        <item h="1" x="4"/>
        <item h="1" x="49"/>
        <item h="1" x="50"/>
        <item h="1" x="51"/>
        <item h="1" x="52"/>
        <item h="1" x="53"/>
        <item h="1" x="54"/>
        <item h="1" x="55"/>
        <item h="1" x="56"/>
        <item h="1" x="57"/>
        <item h="1" x="58"/>
        <item h="1" x="5"/>
        <item h="1" x="59"/>
        <item h="1" x="60"/>
        <item h="1" x="61"/>
        <item h="1" x="62"/>
        <item h="1" x="63"/>
        <item h="1" x="64"/>
        <item h="1" x="65"/>
        <item h="1" x="66"/>
        <item h="1" x="67"/>
        <item h="1" x="68"/>
        <item h="1" x="6"/>
        <item h="1" x="69"/>
        <item h="1" x="70"/>
        <item h="1" x="71"/>
        <item h="1" x="72"/>
        <item h="1" x="73"/>
        <item h="1" x="74"/>
        <item h="1" x="75"/>
        <item h="1" x="76"/>
        <item h="1" x="77"/>
        <item h="1" x="78"/>
        <item h="1" x="7"/>
        <item h="1" x="79"/>
        <item h="1" x="80"/>
        <item h="1" x="81"/>
        <item h="1" x="82"/>
        <item h="1" x="83"/>
        <item h="1" x="84"/>
        <item h="1" x="85"/>
        <item h="1" x="86"/>
        <item h="1" x="87"/>
        <item h="1" x="88"/>
        <item h="1" x="8"/>
        <item h="1" x="89"/>
        <item h="1" x="90"/>
        <item h="1" x="91"/>
        <item h="1" x="92"/>
        <item h="1" x="93"/>
        <item h="1" x="94"/>
        <item h="1" x="95"/>
        <item h="1" x="96"/>
        <item h="1" x="97"/>
        <item h="1" x="98"/>
        <item t="default"/>
      </items>
    </pivotField>
    <pivotField showAll="0"/>
    <pivotField showAll="0"/>
    <pivotField showAll="0"/>
    <pivotField showAll="0"/>
    <pivotField showAll="0"/>
    <pivotField axis="axisRow" showAll="0">
      <items count="3">
        <item x="1"/>
        <item h="1" x="0"/>
        <item t="default"/>
      </items>
    </pivotField>
    <pivotField showAll="0"/>
  </pivotFields>
  <rowFields count="1">
    <field x="10"/>
  </rowFields>
  <rowItems count="2">
    <i>
      <x/>
    </i>
    <i t="grand">
      <x/>
    </i>
  </rowItems>
  <colItems count="1">
    <i/>
  </colItems>
  <dataFields count="1">
    <dataField name="Count of Item_ID" fld="0" subtotal="count" baseField="0" baseItem="0"/>
  </dataField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0" count="1" selected="0">
            <x v="0"/>
          </reference>
        </references>
      </pivotArea>
    </chartFormat>
    <chartFormat chart="4" format="6">
      <pivotArea type="data" outline="0" fieldPosition="0">
        <references count="2">
          <reference field="4294967294" count="1" selected="0">
            <x v="0"/>
          </reference>
          <reference field="10" count="1" selected="0">
            <x v="1"/>
          </reference>
        </references>
      </pivotArea>
    </chartFormat>
    <chartFormat chart="4"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tock Status Distributio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23ACA0-DFD9-49C5-B58C-542E8C1AF03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H3" firstHeaderRow="1" firstDataRow="1" firstDataCol="1"/>
  <pivotFields count="12">
    <pivotField showAll="0"/>
    <pivotField showAll="0"/>
    <pivotField showAll="0">
      <items count="3">
        <item x="0"/>
        <item h="1" x="1"/>
        <item t="default"/>
      </items>
    </pivotField>
    <pivotField showAll="0">
      <items count="3">
        <item x="0"/>
        <item h="1" x="1"/>
        <item t="default"/>
      </items>
    </pivotField>
    <pivotField axis="axisRow" showAll="0">
      <items count="200">
        <item h="1" x="0"/>
        <item h="1" x="9"/>
        <item h="1" x="99"/>
        <item h="1" x="100"/>
        <item h="1" x="101"/>
        <item x="102"/>
        <item x="103"/>
        <item h="1" x="104"/>
        <item h="1" x="105"/>
        <item h="1" x="106"/>
        <item h="1" x="107"/>
        <item h="1" x="108"/>
        <item h="1" x="10"/>
        <item h="1" x="109"/>
        <item h="1" x="110"/>
        <item h="1" x="111"/>
        <item h="1" x="112"/>
        <item h="1" x="113"/>
        <item h="1" x="114"/>
        <item h="1" x="115"/>
        <item h="1" x="116"/>
        <item h="1" x="117"/>
        <item h="1" x="118"/>
        <item h="1" x="11"/>
        <item h="1" x="11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20"/>
        <item h="1" x="21"/>
        <item h="1" x="22"/>
        <item h="1" x="23"/>
        <item h="1" x="24"/>
        <item h="1" x="25"/>
        <item h="1" x="26"/>
        <item h="1" x="27"/>
        <item h="1" x="28"/>
        <item h="1" x="2"/>
        <item h="1" x="29"/>
        <item h="1" x="30"/>
        <item h="1" x="31"/>
        <item h="1" x="32"/>
        <item h="1" x="33"/>
        <item h="1" x="34"/>
        <item h="1" x="35"/>
        <item h="1" x="36"/>
        <item h="1" x="37"/>
        <item h="1" x="38"/>
        <item h="1" x="3"/>
        <item h="1" x="39"/>
        <item h="1" x="40"/>
        <item h="1" x="41"/>
        <item h="1" x="42"/>
        <item h="1" x="43"/>
        <item h="1" x="44"/>
        <item h="1" x="45"/>
        <item h="1" x="46"/>
        <item h="1" x="47"/>
        <item h="1" x="48"/>
        <item h="1" x="4"/>
        <item h="1" x="49"/>
        <item h="1" x="50"/>
        <item h="1" x="51"/>
        <item h="1" x="52"/>
        <item h="1" x="53"/>
        <item h="1" x="54"/>
        <item h="1" x="55"/>
        <item h="1" x="56"/>
        <item h="1" x="57"/>
        <item h="1" x="58"/>
        <item h="1" x="5"/>
        <item h="1" x="59"/>
        <item h="1" x="60"/>
        <item h="1" x="61"/>
        <item h="1" x="62"/>
        <item h="1" x="63"/>
        <item h="1" x="64"/>
        <item h="1" x="65"/>
        <item h="1" x="66"/>
        <item h="1" x="67"/>
        <item h="1" x="68"/>
        <item h="1" x="6"/>
        <item h="1" x="69"/>
        <item h="1" x="70"/>
        <item h="1" x="71"/>
        <item h="1" x="72"/>
        <item h="1" x="73"/>
        <item h="1" x="74"/>
        <item h="1" x="75"/>
        <item h="1" x="76"/>
        <item h="1" x="77"/>
        <item h="1" x="78"/>
        <item h="1" x="7"/>
        <item h="1" x="79"/>
        <item h="1" x="80"/>
        <item h="1" x="81"/>
        <item h="1" x="82"/>
        <item h="1" x="83"/>
        <item h="1" x="84"/>
        <item h="1" x="85"/>
        <item h="1" x="86"/>
        <item h="1" x="87"/>
        <item h="1" x="88"/>
        <item h="1" x="8"/>
        <item h="1" x="89"/>
        <item h="1" x="90"/>
        <item h="1" x="91"/>
        <item h="1" x="92"/>
        <item h="1" x="93"/>
        <item h="1" x="94"/>
        <item h="1" x="95"/>
        <item h="1" x="96"/>
        <item h="1" x="97"/>
        <item h="1" x="98"/>
        <item t="default"/>
      </items>
    </pivotField>
    <pivotField showAll="0"/>
    <pivotField showAll="0"/>
    <pivotField dataField="1" showAll="0"/>
    <pivotField showAll="0"/>
    <pivotField showAll="0"/>
    <pivotField showAll="0">
      <items count="3">
        <item x="1"/>
        <item h="1" x="0"/>
        <item t="default"/>
      </items>
    </pivotField>
    <pivotField showAll="0"/>
  </pivotFields>
  <rowFields count="1">
    <field x="4"/>
  </rowFields>
  <rowItems count="2">
    <i>
      <x v="5"/>
    </i>
    <i t="grand">
      <x/>
    </i>
  </rowItems>
  <colItems count="1">
    <i/>
  </colItems>
  <dataFields count="1">
    <dataField name="Sum of Current_Stock" fld="7"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70CEBB01-1FCF-4CE2-9448-17141647119C}" sourceName="Supplier">
  <pivotTables>
    <pivotTable tabId="5" name="PivotTable7"/>
    <pivotTable tabId="5" name="PivotTable5"/>
    <pivotTable tabId="5" name="PivotTable6"/>
    <pivotTable tabId="2" name="PivotTable1"/>
    <pivotTable tabId="2" name="PivotTable2"/>
    <pivotTable tabId="2" name="PivotTable3"/>
    <pivotTable tabId="2" name="PivotTable4"/>
    <pivotTable tabId="2" name="PivotTable5"/>
  </pivotTables>
  <data>
    <tabular pivotCacheId="666041201">
      <items count="2">
        <i x="0" s="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FD23F4AC-B907-4E67-8941-47D85554D52A}" sourceName="Warehouse">
  <pivotTables>
    <pivotTable tabId="5" name="PivotTable7"/>
    <pivotTable tabId="5" name="PivotTable5"/>
    <pivotTable tabId="5" name="PivotTable6"/>
    <pivotTable tabId="2" name="PivotTable3"/>
    <pivotTable tabId="2" name="PivotTable4"/>
    <pivotTable tabId="2" name="PivotTable5"/>
  </pivotTables>
  <data>
    <tabular pivotCacheId="666041201">
      <items count="199">
        <i x="100"/>
        <i x="102" s="1"/>
        <i x="104"/>
        <i x="106"/>
        <i x="108"/>
        <i x="10"/>
        <i x="110"/>
        <i x="112"/>
        <i x="114"/>
        <i x="116"/>
        <i x="118"/>
        <i x="120"/>
        <i x="122"/>
        <i x="124"/>
        <i x="126"/>
        <i x="128"/>
        <i x="12"/>
        <i x="130"/>
        <i x="132"/>
        <i x="134"/>
        <i x="136"/>
        <i x="138"/>
        <i x="140"/>
        <i x="142"/>
        <i x="144"/>
        <i x="146"/>
        <i x="148"/>
        <i x="14"/>
        <i x="150"/>
        <i x="152"/>
        <i x="154"/>
        <i x="156"/>
        <i x="158"/>
        <i x="160"/>
        <i x="162"/>
        <i x="164"/>
        <i x="166"/>
        <i x="168"/>
        <i x="16"/>
        <i x="170"/>
        <i x="172"/>
        <i x="174"/>
        <i x="176"/>
        <i x="178"/>
        <i x="180"/>
        <i x="182"/>
        <i x="184"/>
        <i x="186"/>
        <i x="188"/>
        <i x="18"/>
        <i x="190"/>
        <i x="192"/>
        <i x="194"/>
        <i x="196"/>
        <i x="198"/>
        <i x="20"/>
        <i x="22"/>
        <i x="24"/>
        <i x="26"/>
        <i x="28"/>
        <i x="2"/>
        <i x="30"/>
        <i x="32"/>
        <i x="34"/>
        <i x="36"/>
        <i x="38"/>
        <i x="40"/>
        <i x="42"/>
        <i x="44"/>
        <i x="46"/>
        <i x="48"/>
        <i x="4"/>
        <i x="50"/>
        <i x="52"/>
        <i x="54"/>
        <i x="56"/>
        <i x="58"/>
        <i x="60"/>
        <i x="62"/>
        <i x="64"/>
        <i x="66"/>
        <i x="68"/>
        <i x="6"/>
        <i x="70"/>
        <i x="72"/>
        <i x="74"/>
        <i x="76"/>
        <i x="78"/>
        <i x="80"/>
        <i x="82"/>
        <i x="84"/>
        <i x="86"/>
        <i x="88"/>
        <i x="8"/>
        <i x="90"/>
        <i x="92"/>
        <i x="94"/>
        <i x="96"/>
        <i x="98"/>
        <i x="0" nd="1"/>
        <i x="9" nd="1"/>
        <i x="99" nd="1"/>
        <i x="101" nd="1"/>
        <i x="103" s="1" nd="1"/>
        <i x="105" nd="1"/>
        <i x="107" nd="1"/>
        <i x="109" nd="1"/>
        <i x="111" nd="1"/>
        <i x="113" nd="1"/>
        <i x="115" nd="1"/>
        <i x="117" nd="1"/>
        <i x="11" nd="1"/>
        <i x="119" nd="1"/>
        <i x="121" nd="1"/>
        <i x="123" nd="1"/>
        <i x="125" nd="1"/>
        <i x="127" nd="1"/>
        <i x="129" nd="1"/>
        <i x="131" nd="1"/>
        <i x="133" nd="1"/>
        <i x="135" nd="1"/>
        <i x="137" nd="1"/>
        <i x="13" nd="1"/>
        <i x="139" nd="1"/>
        <i x="141" nd="1"/>
        <i x="143" nd="1"/>
        <i x="145" nd="1"/>
        <i x="147" nd="1"/>
        <i x="149" nd="1"/>
        <i x="151" nd="1"/>
        <i x="153" nd="1"/>
        <i x="155" nd="1"/>
        <i x="157" nd="1"/>
        <i x="15" nd="1"/>
        <i x="159" nd="1"/>
        <i x="161" nd="1"/>
        <i x="163" nd="1"/>
        <i x="165" nd="1"/>
        <i x="167" nd="1"/>
        <i x="169" nd="1"/>
        <i x="171" nd="1"/>
        <i x="173" nd="1"/>
        <i x="175" nd="1"/>
        <i x="177" nd="1"/>
        <i x="17" nd="1"/>
        <i x="179" nd="1"/>
        <i x="181" nd="1"/>
        <i x="183" nd="1"/>
        <i x="185" nd="1"/>
        <i x="187" nd="1"/>
        <i x="189" nd="1"/>
        <i x="191" nd="1"/>
        <i x="193" nd="1"/>
        <i x="195" nd="1"/>
        <i x="197" nd="1"/>
        <i x="1" nd="1"/>
        <i x="19" nd="1"/>
        <i x="21" nd="1"/>
        <i x="23" nd="1"/>
        <i x="25" nd="1"/>
        <i x="27" nd="1"/>
        <i x="29" nd="1"/>
        <i x="31" nd="1"/>
        <i x="33" nd="1"/>
        <i x="35" nd="1"/>
        <i x="37" nd="1"/>
        <i x="3" nd="1"/>
        <i x="39" nd="1"/>
        <i x="41" nd="1"/>
        <i x="43" nd="1"/>
        <i x="45" nd="1"/>
        <i x="47" nd="1"/>
        <i x="49" nd="1"/>
        <i x="51" nd="1"/>
        <i x="53" nd="1"/>
        <i x="55" nd="1"/>
        <i x="57" nd="1"/>
        <i x="5" nd="1"/>
        <i x="59" nd="1"/>
        <i x="61" nd="1"/>
        <i x="63" nd="1"/>
        <i x="65" nd="1"/>
        <i x="67" nd="1"/>
        <i x="69" nd="1"/>
        <i x="71" nd="1"/>
        <i x="73" nd="1"/>
        <i x="75" nd="1"/>
        <i x="77" nd="1"/>
        <i x="7" nd="1"/>
        <i x="79" nd="1"/>
        <i x="81" nd="1"/>
        <i x="83" nd="1"/>
        <i x="85" nd="1"/>
        <i x="87" nd="1"/>
        <i x="89" nd="1"/>
        <i x="91" nd="1"/>
        <i x="93" nd="1"/>
        <i x="95" nd="1"/>
        <i x="9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4DF19F-D9FB-4CC2-A319-5FD80058B70D}" sourceName="Category">
  <pivotTables>
    <pivotTable tabId="5" name="PivotTable7"/>
    <pivotTable tabId="5" name="PivotTable5"/>
    <pivotTable tabId="5" name="PivotTable6"/>
    <pivotTable tabId="2" name="PivotTable1"/>
    <pivotTable tabId="2" name="PivotTable2"/>
    <pivotTable tabId="2" name="PivotTable3"/>
    <pivotTable tabId="2" name="PivotTable4"/>
    <pivotTable tabId="2" name="PivotTable5"/>
  </pivotTables>
  <data>
    <tabular pivotCacheId="666041201">
      <items count="2">
        <i x="0" s="1"/>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167F1C06-84BD-490F-AF11-3178D5175FE4}" sourceName="Stock_Status">
  <pivotTables>
    <pivotTable tabId="5" name="PivotTable7"/>
    <pivotTable tabId="5" name="PivotTable5"/>
    <pivotTable tabId="5" name="PivotTable6"/>
    <pivotTable tabId="2" name="PivotTable1"/>
    <pivotTable tabId="2" name="PivotTable2"/>
    <pivotTable tabId="2" name="PivotTable3"/>
    <pivotTable tabId="2" name="PivotTable4"/>
    <pivotTable tabId="2" name="PivotTable5"/>
  </pivotTables>
  <data>
    <tabular pivotCacheId="666041201">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4CD0FAFD-1650-41C2-898A-D5DE95F8D88A}" cache="Slicer_Supplier" caption="Supplier" columnCount="2" rowHeight="234950"/>
  <slicer name="Warehouse" xr10:uid="{539D1C8B-856D-42CF-BF16-79D75AE6B8DE}" cache="Slicer_Warehouse" caption="Warehouse" columnCount="7" rowHeight="234950"/>
  <slicer name="Category" xr10:uid="{734EF919-53C7-413F-980A-1A71D2A9F974}" cache="Slicer_Category" caption="Category" columnCount="2" rowHeight="234950"/>
  <slicer name="Stock_Status" xr10:uid="{D4F7B904-ABD9-44E8-9C37-46BEF6E1CAFE}" cache="Slicer_Stock_Status" caption="Stock_Status"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CC21-A22F-4331-AE6E-2617E8C9F7E6}">
  <dimension ref="A1:L200"/>
  <sheetViews>
    <sheetView zoomScale="115" zoomScaleNormal="115" workbookViewId="0">
      <selection activeCell="D10" sqref="A1:L200"/>
    </sheetView>
  </sheetViews>
  <sheetFormatPr defaultRowHeight="14.4" x14ac:dyDescent="0.3"/>
  <cols>
    <col min="1" max="1" width="7.6640625" bestFit="1" customWidth="1"/>
    <col min="2" max="2" width="7.6640625" customWidth="1"/>
    <col min="3" max="3" width="10.88671875" customWidth="1"/>
    <col min="4" max="4" width="11.5546875" customWidth="1"/>
    <col min="5" max="6" width="18.5546875" customWidth="1"/>
    <col min="7" max="7" width="10.5546875" customWidth="1"/>
    <col min="8" max="9" width="13.77734375" customWidth="1"/>
    <col min="10" max="10" width="15.109375" customWidth="1"/>
    <col min="11" max="11" width="15.6640625" customWidth="1"/>
    <col min="12" max="12" width="21.88671875" customWidth="1"/>
  </cols>
  <sheetData>
    <row r="1" spans="1:12" ht="28.8" x14ac:dyDescent="0.3">
      <c r="A1" s="1" t="s">
        <v>0</v>
      </c>
      <c r="B1" s="1" t="s">
        <v>1</v>
      </c>
      <c r="C1" s="1" t="s">
        <v>2</v>
      </c>
      <c r="D1" s="1" t="s">
        <v>3</v>
      </c>
      <c r="E1" s="1" t="s">
        <v>4</v>
      </c>
      <c r="F1" s="1" t="s">
        <v>5</v>
      </c>
      <c r="G1" s="1" t="s">
        <v>6</v>
      </c>
      <c r="H1" s="1" t="s">
        <v>7</v>
      </c>
      <c r="I1" s="1" t="s">
        <v>8</v>
      </c>
      <c r="J1" s="1" t="s">
        <v>9</v>
      </c>
      <c r="K1" t="s">
        <v>414</v>
      </c>
      <c r="L1" s="1" t="s">
        <v>415</v>
      </c>
    </row>
    <row r="2" spans="1:12" x14ac:dyDescent="0.3">
      <c r="A2" s="2" t="s">
        <v>10</v>
      </c>
      <c r="B2" s="2" t="s">
        <v>11</v>
      </c>
      <c r="C2" s="2" t="s">
        <v>12</v>
      </c>
      <c r="D2" s="2" t="s">
        <v>213</v>
      </c>
      <c r="E2" s="2" t="s">
        <v>215</v>
      </c>
      <c r="F2" s="2">
        <v>500</v>
      </c>
      <c r="G2" s="2">
        <v>450</v>
      </c>
      <c r="H2" s="2">
        <v>50</v>
      </c>
      <c r="I2" s="2">
        <v>100</v>
      </c>
      <c r="J2">
        <v>14</v>
      </c>
      <c r="K2" t="str">
        <f t="shared" ref="K2:K33" si="0">IF(H2&lt;I2,"Understock",
 IF(H2&gt;I2*2,"Overstock","Optimal"))</f>
        <v>Understock</v>
      </c>
      <c r="L2">
        <f>IFERROR(G2/F2,0)</f>
        <v>0.9</v>
      </c>
    </row>
    <row r="3" spans="1:12" x14ac:dyDescent="0.3">
      <c r="A3" s="2" t="s">
        <v>13</v>
      </c>
      <c r="B3" s="2" t="s">
        <v>14</v>
      </c>
      <c r="C3" s="2" t="s">
        <v>15</v>
      </c>
      <c r="D3" s="2" t="s">
        <v>214</v>
      </c>
      <c r="E3" s="2" t="s">
        <v>216</v>
      </c>
      <c r="F3" s="2">
        <v>300</v>
      </c>
      <c r="G3" s="2">
        <v>120</v>
      </c>
      <c r="H3" s="2">
        <v>180</v>
      </c>
      <c r="I3" s="2">
        <v>80</v>
      </c>
      <c r="J3">
        <v>21</v>
      </c>
      <c r="K3" t="str">
        <f t="shared" si="0"/>
        <v>Overstock</v>
      </c>
      <c r="L3">
        <f t="shared" ref="L3:L66" si="1">IFERROR(G3/F3,0)</f>
        <v>0.4</v>
      </c>
    </row>
    <row r="4" spans="1:12" x14ac:dyDescent="0.3">
      <c r="A4" s="2" t="s">
        <v>16</v>
      </c>
      <c r="B4" s="2" t="s">
        <v>11</v>
      </c>
      <c r="C4" s="2" t="s">
        <v>12</v>
      </c>
      <c r="D4" s="2" t="s">
        <v>213</v>
      </c>
      <c r="E4" s="2" t="s">
        <v>217</v>
      </c>
      <c r="F4" s="2">
        <v>100</v>
      </c>
      <c r="G4" s="2">
        <v>10</v>
      </c>
      <c r="H4" s="2">
        <v>310</v>
      </c>
      <c r="I4" s="2">
        <v>60</v>
      </c>
      <c r="J4">
        <v>28</v>
      </c>
      <c r="K4" t="str">
        <f t="shared" si="0"/>
        <v>Overstock</v>
      </c>
      <c r="L4">
        <f t="shared" si="1"/>
        <v>0.1</v>
      </c>
    </row>
    <row r="5" spans="1:12" x14ac:dyDescent="0.3">
      <c r="A5" s="2" t="s">
        <v>17</v>
      </c>
      <c r="B5" s="2" t="s">
        <v>14</v>
      </c>
      <c r="C5" s="2" t="s">
        <v>15</v>
      </c>
      <c r="D5" s="2" t="s">
        <v>214</v>
      </c>
      <c r="E5" s="2" t="s">
        <v>218</v>
      </c>
      <c r="F5" s="2">
        <v>0</v>
      </c>
      <c r="G5" s="2">
        <v>10</v>
      </c>
      <c r="H5" s="2">
        <v>440</v>
      </c>
      <c r="I5" s="2">
        <v>40</v>
      </c>
      <c r="J5">
        <v>30</v>
      </c>
      <c r="K5" t="str">
        <f t="shared" si="0"/>
        <v>Overstock</v>
      </c>
      <c r="L5">
        <f t="shared" si="1"/>
        <v>0</v>
      </c>
    </row>
    <row r="6" spans="1:12" x14ac:dyDescent="0.3">
      <c r="A6" s="2" t="s">
        <v>18</v>
      </c>
      <c r="B6" s="2" t="s">
        <v>11</v>
      </c>
      <c r="C6" s="2" t="s">
        <v>12</v>
      </c>
      <c r="D6" s="2" t="s">
        <v>213</v>
      </c>
      <c r="E6" s="2" t="s">
        <v>219</v>
      </c>
      <c r="F6" s="2">
        <v>0</v>
      </c>
      <c r="G6" s="2">
        <v>10</v>
      </c>
      <c r="H6" s="2">
        <v>570</v>
      </c>
      <c r="I6" s="2">
        <v>20</v>
      </c>
      <c r="J6">
        <v>30</v>
      </c>
      <c r="K6" t="str">
        <f t="shared" si="0"/>
        <v>Overstock</v>
      </c>
      <c r="L6">
        <f t="shared" si="1"/>
        <v>0</v>
      </c>
    </row>
    <row r="7" spans="1:12" x14ac:dyDescent="0.3">
      <c r="A7" s="2" t="s">
        <v>19</v>
      </c>
      <c r="B7" s="2" t="s">
        <v>14</v>
      </c>
      <c r="C7" s="2" t="s">
        <v>15</v>
      </c>
      <c r="D7" s="2" t="s">
        <v>214</v>
      </c>
      <c r="E7" s="2" t="s">
        <v>220</v>
      </c>
      <c r="F7" s="2">
        <v>0</v>
      </c>
      <c r="G7" s="2">
        <v>10</v>
      </c>
      <c r="H7" s="2">
        <v>700</v>
      </c>
      <c r="I7" s="2">
        <v>0</v>
      </c>
      <c r="J7">
        <v>30</v>
      </c>
      <c r="K7" t="str">
        <f t="shared" si="0"/>
        <v>Overstock</v>
      </c>
      <c r="L7">
        <f t="shared" si="1"/>
        <v>0</v>
      </c>
    </row>
    <row r="8" spans="1:12" x14ac:dyDescent="0.3">
      <c r="A8" s="2" t="s">
        <v>20</v>
      </c>
      <c r="B8" s="2" t="s">
        <v>11</v>
      </c>
      <c r="C8" s="2" t="s">
        <v>12</v>
      </c>
      <c r="D8" s="2" t="s">
        <v>213</v>
      </c>
      <c r="E8" s="2" t="s">
        <v>221</v>
      </c>
      <c r="F8" s="2">
        <v>0</v>
      </c>
      <c r="G8" s="2">
        <v>10</v>
      </c>
      <c r="H8" s="2">
        <v>830</v>
      </c>
      <c r="I8" s="2">
        <v>-20</v>
      </c>
      <c r="J8">
        <v>30</v>
      </c>
      <c r="K8" t="str">
        <f t="shared" si="0"/>
        <v>Overstock</v>
      </c>
      <c r="L8">
        <f t="shared" si="1"/>
        <v>0</v>
      </c>
    </row>
    <row r="9" spans="1:12" x14ac:dyDescent="0.3">
      <c r="A9" s="2" t="s">
        <v>21</v>
      </c>
      <c r="B9" s="2" t="s">
        <v>14</v>
      </c>
      <c r="C9" s="2" t="s">
        <v>15</v>
      </c>
      <c r="D9" s="2" t="s">
        <v>214</v>
      </c>
      <c r="E9" s="2" t="s">
        <v>222</v>
      </c>
      <c r="F9" s="2">
        <v>0</v>
      </c>
      <c r="G9" s="2">
        <v>10</v>
      </c>
      <c r="H9" s="2">
        <v>960</v>
      </c>
      <c r="I9" s="2">
        <v>-40</v>
      </c>
      <c r="J9">
        <v>30</v>
      </c>
      <c r="K9" t="str">
        <f t="shared" si="0"/>
        <v>Overstock</v>
      </c>
      <c r="L9">
        <f t="shared" si="1"/>
        <v>0</v>
      </c>
    </row>
    <row r="10" spans="1:12" x14ac:dyDescent="0.3">
      <c r="A10" s="2" t="s">
        <v>22</v>
      </c>
      <c r="B10" s="2" t="s">
        <v>11</v>
      </c>
      <c r="C10" s="2" t="s">
        <v>12</v>
      </c>
      <c r="D10" s="2" t="s">
        <v>213</v>
      </c>
      <c r="E10" s="2" t="s">
        <v>223</v>
      </c>
      <c r="F10" s="2">
        <v>0</v>
      </c>
      <c r="G10" s="2">
        <v>10</v>
      </c>
      <c r="H10" s="2">
        <v>1090</v>
      </c>
      <c r="I10" s="2">
        <v>-60</v>
      </c>
      <c r="J10">
        <v>30</v>
      </c>
      <c r="K10" t="str">
        <f t="shared" si="0"/>
        <v>Overstock</v>
      </c>
      <c r="L10">
        <f t="shared" si="1"/>
        <v>0</v>
      </c>
    </row>
    <row r="11" spans="1:12" x14ac:dyDescent="0.3">
      <c r="A11" s="2" t="s">
        <v>23</v>
      </c>
      <c r="B11" s="2" t="s">
        <v>14</v>
      </c>
      <c r="C11" s="2" t="s">
        <v>15</v>
      </c>
      <c r="D11" s="2" t="s">
        <v>214</v>
      </c>
      <c r="E11" s="2" t="s">
        <v>224</v>
      </c>
      <c r="F11" s="2">
        <v>0</v>
      </c>
      <c r="G11" s="2">
        <v>10</v>
      </c>
      <c r="H11" s="2">
        <v>1220</v>
      </c>
      <c r="I11" s="2">
        <v>-80</v>
      </c>
      <c r="J11">
        <v>30</v>
      </c>
      <c r="K11" t="str">
        <f t="shared" si="0"/>
        <v>Overstock</v>
      </c>
      <c r="L11">
        <f t="shared" si="1"/>
        <v>0</v>
      </c>
    </row>
    <row r="12" spans="1:12" x14ac:dyDescent="0.3">
      <c r="A12" s="2" t="s">
        <v>24</v>
      </c>
      <c r="B12" s="2" t="s">
        <v>11</v>
      </c>
      <c r="C12" s="2" t="s">
        <v>12</v>
      </c>
      <c r="D12" s="2" t="s">
        <v>213</v>
      </c>
      <c r="E12" s="2" t="s">
        <v>225</v>
      </c>
      <c r="F12" s="2">
        <v>0</v>
      </c>
      <c r="G12" s="2">
        <v>10</v>
      </c>
      <c r="H12" s="2">
        <v>1350</v>
      </c>
      <c r="I12" s="2">
        <v>-100</v>
      </c>
      <c r="J12">
        <v>30</v>
      </c>
      <c r="K12" t="str">
        <f t="shared" si="0"/>
        <v>Overstock</v>
      </c>
      <c r="L12">
        <f t="shared" si="1"/>
        <v>0</v>
      </c>
    </row>
    <row r="13" spans="1:12" x14ac:dyDescent="0.3">
      <c r="A13" s="2" t="s">
        <v>25</v>
      </c>
      <c r="B13" s="2" t="s">
        <v>14</v>
      </c>
      <c r="C13" s="2" t="s">
        <v>15</v>
      </c>
      <c r="D13" s="2" t="s">
        <v>214</v>
      </c>
      <c r="E13" s="2" t="s">
        <v>226</v>
      </c>
      <c r="F13" s="2">
        <v>0</v>
      </c>
      <c r="G13" s="2">
        <v>10</v>
      </c>
      <c r="H13" s="2">
        <v>1480</v>
      </c>
      <c r="I13" s="2">
        <v>-120</v>
      </c>
      <c r="J13">
        <v>30</v>
      </c>
      <c r="K13" t="str">
        <f t="shared" si="0"/>
        <v>Overstock</v>
      </c>
      <c r="L13">
        <f t="shared" si="1"/>
        <v>0</v>
      </c>
    </row>
    <row r="14" spans="1:12" x14ac:dyDescent="0.3">
      <c r="A14" s="2" t="s">
        <v>26</v>
      </c>
      <c r="B14" s="2" t="s">
        <v>11</v>
      </c>
      <c r="C14" s="2" t="s">
        <v>12</v>
      </c>
      <c r="D14" s="2" t="s">
        <v>213</v>
      </c>
      <c r="E14" s="2" t="s">
        <v>227</v>
      </c>
      <c r="F14" s="2">
        <v>0</v>
      </c>
      <c r="G14" s="2">
        <v>10</v>
      </c>
      <c r="H14" s="2">
        <v>1610</v>
      </c>
      <c r="I14" s="2">
        <v>-140</v>
      </c>
      <c r="J14">
        <v>30</v>
      </c>
      <c r="K14" t="str">
        <f t="shared" si="0"/>
        <v>Overstock</v>
      </c>
      <c r="L14">
        <f t="shared" si="1"/>
        <v>0</v>
      </c>
    </row>
    <row r="15" spans="1:12" x14ac:dyDescent="0.3">
      <c r="A15" s="2" t="s">
        <v>27</v>
      </c>
      <c r="B15" s="2" t="s">
        <v>14</v>
      </c>
      <c r="C15" s="2" t="s">
        <v>15</v>
      </c>
      <c r="D15" s="2" t="s">
        <v>214</v>
      </c>
      <c r="E15" s="2" t="s">
        <v>228</v>
      </c>
      <c r="F15" s="2">
        <v>0</v>
      </c>
      <c r="G15" s="2">
        <v>10</v>
      </c>
      <c r="H15" s="2">
        <v>1740</v>
      </c>
      <c r="I15" s="2">
        <v>-160</v>
      </c>
      <c r="J15">
        <v>30</v>
      </c>
      <c r="K15" t="str">
        <f t="shared" si="0"/>
        <v>Overstock</v>
      </c>
      <c r="L15">
        <f t="shared" si="1"/>
        <v>0</v>
      </c>
    </row>
    <row r="16" spans="1:12" x14ac:dyDescent="0.3">
      <c r="A16" s="2" t="s">
        <v>28</v>
      </c>
      <c r="B16" s="2" t="s">
        <v>11</v>
      </c>
      <c r="C16" s="2" t="s">
        <v>12</v>
      </c>
      <c r="D16" s="2" t="s">
        <v>213</v>
      </c>
      <c r="E16" s="2" t="s">
        <v>229</v>
      </c>
      <c r="F16" s="2">
        <v>0</v>
      </c>
      <c r="G16" s="2">
        <v>10</v>
      </c>
      <c r="H16" s="2">
        <v>1870</v>
      </c>
      <c r="I16" s="2">
        <v>-180</v>
      </c>
      <c r="J16">
        <v>30</v>
      </c>
      <c r="K16" t="str">
        <f t="shared" si="0"/>
        <v>Overstock</v>
      </c>
      <c r="L16">
        <f t="shared" si="1"/>
        <v>0</v>
      </c>
    </row>
    <row r="17" spans="1:12" x14ac:dyDescent="0.3">
      <c r="A17" s="2" t="s">
        <v>29</v>
      </c>
      <c r="B17" s="2" t="s">
        <v>14</v>
      </c>
      <c r="C17" s="2" t="s">
        <v>15</v>
      </c>
      <c r="D17" s="2" t="s">
        <v>214</v>
      </c>
      <c r="E17" s="2" t="s">
        <v>230</v>
      </c>
      <c r="F17" s="2">
        <v>0</v>
      </c>
      <c r="G17" s="2">
        <v>10</v>
      </c>
      <c r="H17" s="2">
        <v>2000</v>
      </c>
      <c r="I17" s="2">
        <v>-200</v>
      </c>
      <c r="J17">
        <v>30</v>
      </c>
      <c r="K17" t="str">
        <f t="shared" si="0"/>
        <v>Overstock</v>
      </c>
      <c r="L17">
        <f t="shared" si="1"/>
        <v>0</v>
      </c>
    </row>
    <row r="18" spans="1:12" x14ac:dyDescent="0.3">
      <c r="A18" s="2" t="s">
        <v>30</v>
      </c>
      <c r="B18" s="2" t="s">
        <v>11</v>
      </c>
      <c r="C18" s="2" t="s">
        <v>12</v>
      </c>
      <c r="D18" s="2" t="s">
        <v>213</v>
      </c>
      <c r="E18" s="2" t="s">
        <v>231</v>
      </c>
      <c r="F18" s="2">
        <v>0</v>
      </c>
      <c r="G18" s="2">
        <v>10</v>
      </c>
      <c r="H18" s="2">
        <v>2130</v>
      </c>
      <c r="I18" s="2">
        <v>-220</v>
      </c>
      <c r="J18">
        <v>30</v>
      </c>
      <c r="K18" t="str">
        <f t="shared" si="0"/>
        <v>Overstock</v>
      </c>
      <c r="L18">
        <f t="shared" si="1"/>
        <v>0</v>
      </c>
    </row>
    <row r="19" spans="1:12" x14ac:dyDescent="0.3">
      <c r="A19" s="2" t="s">
        <v>31</v>
      </c>
      <c r="B19" s="2" t="s">
        <v>14</v>
      </c>
      <c r="C19" s="2" t="s">
        <v>15</v>
      </c>
      <c r="D19" s="2" t="s">
        <v>214</v>
      </c>
      <c r="E19" s="2" t="s">
        <v>232</v>
      </c>
      <c r="F19" s="2">
        <v>0</v>
      </c>
      <c r="G19" s="2">
        <v>10</v>
      </c>
      <c r="H19" s="2">
        <v>2260</v>
      </c>
      <c r="I19" s="2">
        <v>-240</v>
      </c>
      <c r="J19">
        <v>30</v>
      </c>
      <c r="K19" t="str">
        <f t="shared" si="0"/>
        <v>Overstock</v>
      </c>
      <c r="L19">
        <f t="shared" si="1"/>
        <v>0</v>
      </c>
    </row>
    <row r="20" spans="1:12" x14ac:dyDescent="0.3">
      <c r="A20" s="2" t="s">
        <v>32</v>
      </c>
      <c r="B20" s="2" t="s">
        <v>11</v>
      </c>
      <c r="C20" s="2" t="s">
        <v>12</v>
      </c>
      <c r="D20" s="2" t="s">
        <v>213</v>
      </c>
      <c r="E20" s="2" t="s">
        <v>233</v>
      </c>
      <c r="F20" s="2">
        <v>0</v>
      </c>
      <c r="G20" s="2">
        <v>10</v>
      </c>
      <c r="H20" s="2">
        <v>2390</v>
      </c>
      <c r="I20" s="2">
        <v>-260</v>
      </c>
      <c r="J20">
        <v>30</v>
      </c>
      <c r="K20" t="str">
        <f t="shared" si="0"/>
        <v>Overstock</v>
      </c>
      <c r="L20">
        <f t="shared" si="1"/>
        <v>0</v>
      </c>
    </row>
    <row r="21" spans="1:12" x14ac:dyDescent="0.3">
      <c r="A21" s="2" t="s">
        <v>33</v>
      </c>
      <c r="B21" s="2" t="s">
        <v>14</v>
      </c>
      <c r="C21" s="2" t="s">
        <v>15</v>
      </c>
      <c r="D21" s="2" t="s">
        <v>214</v>
      </c>
      <c r="E21" s="2" t="s">
        <v>234</v>
      </c>
      <c r="F21" s="2">
        <v>0</v>
      </c>
      <c r="G21" s="2">
        <v>10</v>
      </c>
      <c r="H21" s="2">
        <v>2520</v>
      </c>
      <c r="I21" s="2">
        <v>-280</v>
      </c>
      <c r="J21">
        <v>30</v>
      </c>
      <c r="K21" t="str">
        <f t="shared" si="0"/>
        <v>Overstock</v>
      </c>
      <c r="L21">
        <f t="shared" si="1"/>
        <v>0</v>
      </c>
    </row>
    <row r="22" spans="1:12" x14ac:dyDescent="0.3">
      <c r="A22" s="2" t="s">
        <v>34</v>
      </c>
      <c r="B22" s="2" t="s">
        <v>11</v>
      </c>
      <c r="C22" s="2" t="s">
        <v>12</v>
      </c>
      <c r="D22" s="2" t="s">
        <v>213</v>
      </c>
      <c r="E22" s="2" t="s">
        <v>235</v>
      </c>
      <c r="F22" s="2">
        <v>0</v>
      </c>
      <c r="G22" s="2">
        <v>10</v>
      </c>
      <c r="H22" s="2">
        <v>2650</v>
      </c>
      <c r="I22" s="2">
        <v>-300</v>
      </c>
      <c r="J22">
        <v>30</v>
      </c>
      <c r="K22" t="str">
        <f t="shared" si="0"/>
        <v>Overstock</v>
      </c>
      <c r="L22">
        <f t="shared" si="1"/>
        <v>0</v>
      </c>
    </row>
    <row r="23" spans="1:12" x14ac:dyDescent="0.3">
      <c r="A23" s="2" t="s">
        <v>35</v>
      </c>
      <c r="B23" s="2" t="s">
        <v>14</v>
      </c>
      <c r="C23" s="2" t="s">
        <v>15</v>
      </c>
      <c r="D23" s="2" t="s">
        <v>214</v>
      </c>
      <c r="E23" s="2" t="s">
        <v>236</v>
      </c>
      <c r="F23" s="2">
        <v>0</v>
      </c>
      <c r="G23" s="2">
        <v>10</v>
      </c>
      <c r="H23" s="2">
        <v>2780</v>
      </c>
      <c r="I23" s="2">
        <v>-320</v>
      </c>
      <c r="J23">
        <v>30</v>
      </c>
      <c r="K23" t="str">
        <f t="shared" si="0"/>
        <v>Overstock</v>
      </c>
      <c r="L23">
        <f t="shared" si="1"/>
        <v>0</v>
      </c>
    </row>
    <row r="24" spans="1:12" x14ac:dyDescent="0.3">
      <c r="A24" s="2" t="s">
        <v>36</v>
      </c>
      <c r="B24" s="2" t="s">
        <v>11</v>
      </c>
      <c r="C24" s="2" t="s">
        <v>12</v>
      </c>
      <c r="D24" s="2" t="s">
        <v>213</v>
      </c>
      <c r="E24" s="2" t="s">
        <v>237</v>
      </c>
      <c r="F24" s="2">
        <v>0</v>
      </c>
      <c r="G24" s="2">
        <v>10</v>
      </c>
      <c r="H24" s="2">
        <v>2910</v>
      </c>
      <c r="I24" s="2">
        <v>-340</v>
      </c>
      <c r="J24">
        <v>30</v>
      </c>
      <c r="K24" t="str">
        <f t="shared" si="0"/>
        <v>Overstock</v>
      </c>
      <c r="L24">
        <f t="shared" si="1"/>
        <v>0</v>
      </c>
    </row>
    <row r="25" spans="1:12" x14ac:dyDescent="0.3">
      <c r="A25" s="2" t="s">
        <v>37</v>
      </c>
      <c r="B25" s="2" t="s">
        <v>14</v>
      </c>
      <c r="C25" s="2" t="s">
        <v>15</v>
      </c>
      <c r="D25" s="2" t="s">
        <v>214</v>
      </c>
      <c r="E25" s="2" t="s">
        <v>238</v>
      </c>
      <c r="F25" s="2">
        <v>0</v>
      </c>
      <c r="G25" s="2">
        <v>10</v>
      </c>
      <c r="H25" s="2">
        <v>3040</v>
      </c>
      <c r="I25" s="2">
        <v>-360</v>
      </c>
      <c r="J25">
        <v>30</v>
      </c>
      <c r="K25" t="str">
        <f t="shared" si="0"/>
        <v>Overstock</v>
      </c>
      <c r="L25">
        <f t="shared" si="1"/>
        <v>0</v>
      </c>
    </row>
    <row r="26" spans="1:12" x14ac:dyDescent="0.3">
      <c r="A26" s="2" t="s">
        <v>38</v>
      </c>
      <c r="B26" s="2" t="s">
        <v>11</v>
      </c>
      <c r="C26" s="2" t="s">
        <v>12</v>
      </c>
      <c r="D26" s="2" t="s">
        <v>213</v>
      </c>
      <c r="E26" s="2" t="s">
        <v>239</v>
      </c>
      <c r="F26" s="2">
        <v>0</v>
      </c>
      <c r="G26" s="2">
        <v>10</v>
      </c>
      <c r="H26" s="2">
        <v>3170</v>
      </c>
      <c r="I26" s="2">
        <v>-380</v>
      </c>
      <c r="J26">
        <v>30</v>
      </c>
      <c r="K26" t="str">
        <f t="shared" si="0"/>
        <v>Overstock</v>
      </c>
      <c r="L26">
        <f t="shared" si="1"/>
        <v>0</v>
      </c>
    </row>
    <row r="27" spans="1:12" x14ac:dyDescent="0.3">
      <c r="A27" s="2" t="s">
        <v>39</v>
      </c>
      <c r="B27" s="2" t="s">
        <v>14</v>
      </c>
      <c r="C27" s="2" t="s">
        <v>15</v>
      </c>
      <c r="D27" s="2" t="s">
        <v>214</v>
      </c>
      <c r="E27" s="2" t="s">
        <v>240</v>
      </c>
      <c r="F27" s="2">
        <v>0</v>
      </c>
      <c r="G27" s="2">
        <v>10</v>
      </c>
      <c r="H27" s="2">
        <v>3300</v>
      </c>
      <c r="I27" s="2">
        <v>-400</v>
      </c>
      <c r="J27">
        <v>30</v>
      </c>
      <c r="K27" t="str">
        <f t="shared" si="0"/>
        <v>Overstock</v>
      </c>
      <c r="L27">
        <f t="shared" si="1"/>
        <v>0</v>
      </c>
    </row>
    <row r="28" spans="1:12" x14ac:dyDescent="0.3">
      <c r="A28" s="2" t="s">
        <v>40</v>
      </c>
      <c r="B28" s="2" t="s">
        <v>11</v>
      </c>
      <c r="C28" s="2" t="s">
        <v>12</v>
      </c>
      <c r="D28" s="2" t="s">
        <v>213</v>
      </c>
      <c r="E28" s="2" t="s">
        <v>241</v>
      </c>
      <c r="F28" s="2">
        <v>0</v>
      </c>
      <c r="G28" s="2">
        <v>10</v>
      </c>
      <c r="H28" s="2">
        <v>3430</v>
      </c>
      <c r="I28" s="2">
        <v>-420</v>
      </c>
      <c r="J28">
        <v>30</v>
      </c>
      <c r="K28" t="str">
        <f t="shared" si="0"/>
        <v>Overstock</v>
      </c>
      <c r="L28">
        <f t="shared" si="1"/>
        <v>0</v>
      </c>
    </row>
    <row r="29" spans="1:12" x14ac:dyDescent="0.3">
      <c r="A29" s="2" t="s">
        <v>41</v>
      </c>
      <c r="B29" s="2" t="s">
        <v>14</v>
      </c>
      <c r="C29" s="2" t="s">
        <v>15</v>
      </c>
      <c r="D29" s="2" t="s">
        <v>214</v>
      </c>
      <c r="E29" s="2" t="s">
        <v>242</v>
      </c>
      <c r="F29" s="2">
        <v>0</v>
      </c>
      <c r="G29" s="2">
        <v>10</v>
      </c>
      <c r="H29" s="2">
        <v>3560</v>
      </c>
      <c r="I29" s="2">
        <v>-440</v>
      </c>
      <c r="J29">
        <v>30</v>
      </c>
      <c r="K29" t="str">
        <f t="shared" si="0"/>
        <v>Overstock</v>
      </c>
      <c r="L29">
        <f t="shared" si="1"/>
        <v>0</v>
      </c>
    </row>
    <row r="30" spans="1:12" x14ac:dyDescent="0.3">
      <c r="A30" s="2" t="s">
        <v>42</v>
      </c>
      <c r="B30" s="2" t="s">
        <v>11</v>
      </c>
      <c r="C30" s="2" t="s">
        <v>12</v>
      </c>
      <c r="D30" s="2" t="s">
        <v>213</v>
      </c>
      <c r="E30" s="2" t="s">
        <v>243</v>
      </c>
      <c r="F30" s="2">
        <v>0</v>
      </c>
      <c r="G30" s="2">
        <v>10</v>
      </c>
      <c r="H30" s="2">
        <v>3690</v>
      </c>
      <c r="I30" s="2">
        <v>-460</v>
      </c>
      <c r="J30">
        <v>30</v>
      </c>
      <c r="K30" t="str">
        <f t="shared" si="0"/>
        <v>Overstock</v>
      </c>
      <c r="L30">
        <f t="shared" si="1"/>
        <v>0</v>
      </c>
    </row>
    <row r="31" spans="1:12" x14ac:dyDescent="0.3">
      <c r="A31" s="2" t="s">
        <v>43</v>
      </c>
      <c r="B31" s="2" t="s">
        <v>14</v>
      </c>
      <c r="C31" s="2" t="s">
        <v>15</v>
      </c>
      <c r="D31" s="2" t="s">
        <v>214</v>
      </c>
      <c r="E31" s="2" t="s">
        <v>244</v>
      </c>
      <c r="F31" s="2">
        <v>0</v>
      </c>
      <c r="G31" s="2">
        <v>10</v>
      </c>
      <c r="H31" s="2">
        <v>3820</v>
      </c>
      <c r="I31" s="2">
        <v>-480</v>
      </c>
      <c r="J31">
        <v>30</v>
      </c>
      <c r="K31" t="str">
        <f t="shared" si="0"/>
        <v>Overstock</v>
      </c>
      <c r="L31">
        <f t="shared" si="1"/>
        <v>0</v>
      </c>
    </row>
    <row r="32" spans="1:12" x14ac:dyDescent="0.3">
      <c r="A32" s="2" t="s">
        <v>44</v>
      </c>
      <c r="B32" s="2" t="s">
        <v>11</v>
      </c>
      <c r="C32" s="2" t="s">
        <v>12</v>
      </c>
      <c r="D32" s="2" t="s">
        <v>213</v>
      </c>
      <c r="E32" s="2" t="s">
        <v>245</v>
      </c>
      <c r="F32" s="2">
        <v>0</v>
      </c>
      <c r="G32" s="2">
        <v>10</v>
      </c>
      <c r="H32" s="2">
        <v>3950</v>
      </c>
      <c r="I32" s="2">
        <v>-500</v>
      </c>
      <c r="J32">
        <v>30</v>
      </c>
      <c r="K32" t="str">
        <f t="shared" si="0"/>
        <v>Overstock</v>
      </c>
      <c r="L32">
        <f t="shared" si="1"/>
        <v>0</v>
      </c>
    </row>
    <row r="33" spans="1:12" x14ac:dyDescent="0.3">
      <c r="A33" s="2" t="s">
        <v>45</v>
      </c>
      <c r="B33" s="2" t="s">
        <v>14</v>
      </c>
      <c r="C33" s="2" t="s">
        <v>15</v>
      </c>
      <c r="D33" s="2" t="s">
        <v>214</v>
      </c>
      <c r="E33" s="2" t="s">
        <v>246</v>
      </c>
      <c r="F33" s="2">
        <v>0</v>
      </c>
      <c r="G33" s="2">
        <v>10</v>
      </c>
      <c r="H33" s="2">
        <v>4080</v>
      </c>
      <c r="I33" s="2">
        <v>-520</v>
      </c>
      <c r="J33">
        <v>30</v>
      </c>
      <c r="K33" t="str">
        <f t="shared" si="0"/>
        <v>Overstock</v>
      </c>
      <c r="L33">
        <f t="shared" si="1"/>
        <v>0</v>
      </c>
    </row>
    <row r="34" spans="1:12" x14ac:dyDescent="0.3">
      <c r="A34" s="2" t="s">
        <v>46</v>
      </c>
      <c r="B34" s="2" t="s">
        <v>11</v>
      </c>
      <c r="C34" s="2" t="s">
        <v>12</v>
      </c>
      <c r="D34" s="2" t="s">
        <v>213</v>
      </c>
      <c r="E34" s="2" t="s">
        <v>247</v>
      </c>
      <c r="F34" s="2">
        <v>0</v>
      </c>
      <c r="G34" s="2">
        <v>10</v>
      </c>
      <c r="H34" s="2">
        <v>4210</v>
      </c>
      <c r="I34" s="2">
        <v>-540</v>
      </c>
      <c r="J34">
        <v>30</v>
      </c>
      <c r="K34" t="str">
        <f t="shared" ref="K34:K65" si="2">IF(H34&lt;I34,"Understock",
 IF(H34&gt;I34*2,"Overstock","Optimal"))</f>
        <v>Overstock</v>
      </c>
      <c r="L34">
        <f t="shared" si="1"/>
        <v>0</v>
      </c>
    </row>
    <row r="35" spans="1:12" x14ac:dyDescent="0.3">
      <c r="A35" s="2" t="s">
        <v>47</v>
      </c>
      <c r="B35" s="2" t="s">
        <v>14</v>
      </c>
      <c r="C35" s="2" t="s">
        <v>15</v>
      </c>
      <c r="D35" s="2" t="s">
        <v>214</v>
      </c>
      <c r="E35" s="2" t="s">
        <v>248</v>
      </c>
      <c r="F35" s="2">
        <v>0</v>
      </c>
      <c r="G35" s="2">
        <v>10</v>
      </c>
      <c r="H35" s="2">
        <v>4340</v>
      </c>
      <c r="I35" s="2">
        <v>-560</v>
      </c>
      <c r="J35">
        <v>30</v>
      </c>
      <c r="K35" t="str">
        <f t="shared" si="2"/>
        <v>Overstock</v>
      </c>
      <c r="L35">
        <f t="shared" si="1"/>
        <v>0</v>
      </c>
    </row>
    <row r="36" spans="1:12" x14ac:dyDescent="0.3">
      <c r="A36" s="2" t="s">
        <v>48</v>
      </c>
      <c r="B36" s="2" t="s">
        <v>11</v>
      </c>
      <c r="C36" s="2" t="s">
        <v>12</v>
      </c>
      <c r="D36" s="2" t="s">
        <v>213</v>
      </c>
      <c r="E36" s="2" t="s">
        <v>249</v>
      </c>
      <c r="F36" s="2">
        <v>0</v>
      </c>
      <c r="G36" s="2">
        <v>10</v>
      </c>
      <c r="H36" s="2">
        <v>4470</v>
      </c>
      <c r="I36" s="2">
        <v>-580</v>
      </c>
      <c r="J36">
        <v>30</v>
      </c>
      <c r="K36" t="str">
        <f t="shared" si="2"/>
        <v>Overstock</v>
      </c>
      <c r="L36">
        <f t="shared" si="1"/>
        <v>0</v>
      </c>
    </row>
    <row r="37" spans="1:12" x14ac:dyDescent="0.3">
      <c r="A37" s="2" t="s">
        <v>49</v>
      </c>
      <c r="B37" s="2" t="s">
        <v>14</v>
      </c>
      <c r="C37" s="2" t="s">
        <v>15</v>
      </c>
      <c r="D37" s="2" t="s">
        <v>214</v>
      </c>
      <c r="E37" s="2" t="s">
        <v>250</v>
      </c>
      <c r="F37" s="2">
        <v>0</v>
      </c>
      <c r="G37" s="2">
        <v>10</v>
      </c>
      <c r="H37" s="2">
        <v>4600</v>
      </c>
      <c r="I37" s="2">
        <v>-600</v>
      </c>
      <c r="J37">
        <v>30</v>
      </c>
      <c r="K37" t="str">
        <f t="shared" si="2"/>
        <v>Overstock</v>
      </c>
      <c r="L37">
        <f t="shared" si="1"/>
        <v>0</v>
      </c>
    </row>
    <row r="38" spans="1:12" x14ac:dyDescent="0.3">
      <c r="A38" s="2" t="s">
        <v>50</v>
      </c>
      <c r="B38" s="2" t="s">
        <v>11</v>
      </c>
      <c r="C38" s="2" t="s">
        <v>12</v>
      </c>
      <c r="D38" s="2" t="s">
        <v>213</v>
      </c>
      <c r="E38" s="2" t="s">
        <v>251</v>
      </c>
      <c r="F38" s="2">
        <v>0</v>
      </c>
      <c r="G38" s="2">
        <v>10</v>
      </c>
      <c r="H38" s="2">
        <v>4730</v>
      </c>
      <c r="I38" s="2">
        <v>-620</v>
      </c>
      <c r="J38">
        <v>30</v>
      </c>
      <c r="K38" t="str">
        <f t="shared" si="2"/>
        <v>Overstock</v>
      </c>
      <c r="L38">
        <f t="shared" si="1"/>
        <v>0</v>
      </c>
    </row>
    <row r="39" spans="1:12" x14ac:dyDescent="0.3">
      <c r="A39" s="2" t="s">
        <v>51</v>
      </c>
      <c r="B39" s="2" t="s">
        <v>14</v>
      </c>
      <c r="C39" s="2" t="s">
        <v>15</v>
      </c>
      <c r="D39" s="2" t="s">
        <v>214</v>
      </c>
      <c r="E39" s="2" t="s">
        <v>252</v>
      </c>
      <c r="F39" s="2">
        <v>0</v>
      </c>
      <c r="G39" s="2">
        <v>10</v>
      </c>
      <c r="H39" s="2">
        <v>4860</v>
      </c>
      <c r="I39" s="2">
        <v>-640</v>
      </c>
      <c r="J39">
        <v>30</v>
      </c>
      <c r="K39" t="str">
        <f t="shared" si="2"/>
        <v>Overstock</v>
      </c>
      <c r="L39">
        <f t="shared" si="1"/>
        <v>0</v>
      </c>
    </row>
    <row r="40" spans="1:12" x14ac:dyDescent="0.3">
      <c r="A40" s="2" t="s">
        <v>52</v>
      </c>
      <c r="B40" s="2" t="s">
        <v>11</v>
      </c>
      <c r="C40" s="2" t="s">
        <v>12</v>
      </c>
      <c r="D40" s="2" t="s">
        <v>213</v>
      </c>
      <c r="E40" s="2" t="s">
        <v>253</v>
      </c>
      <c r="F40" s="2">
        <v>0</v>
      </c>
      <c r="G40" s="2">
        <v>10</v>
      </c>
      <c r="H40" s="2">
        <v>4990</v>
      </c>
      <c r="I40" s="2">
        <v>-660</v>
      </c>
      <c r="J40">
        <v>30</v>
      </c>
      <c r="K40" t="str">
        <f t="shared" si="2"/>
        <v>Overstock</v>
      </c>
      <c r="L40">
        <f t="shared" si="1"/>
        <v>0</v>
      </c>
    </row>
    <row r="41" spans="1:12" x14ac:dyDescent="0.3">
      <c r="A41" s="2" t="s">
        <v>53</v>
      </c>
      <c r="B41" s="2" t="s">
        <v>14</v>
      </c>
      <c r="C41" s="2" t="s">
        <v>15</v>
      </c>
      <c r="D41" s="2" t="s">
        <v>214</v>
      </c>
      <c r="E41" s="2" t="s">
        <v>254</v>
      </c>
      <c r="F41" s="2">
        <v>0</v>
      </c>
      <c r="G41" s="2">
        <v>10</v>
      </c>
      <c r="H41" s="2">
        <v>5120</v>
      </c>
      <c r="I41" s="2">
        <v>-680</v>
      </c>
      <c r="J41">
        <v>30</v>
      </c>
      <c r="K41" t="str">
        <f t="shared" si="2"/>
        <v>Overstock</v>
      </c>
      <c r="L41">
        <f t="shared" si="1"/>
        <v>0</v>
      </c>
    </row>
    <row r="42" spans="1:12" x14ac:dyDescent="0.3">
      <c r="A42" s="2" t="s">
        <v>54</v>
      </c>
      <c r="B42" s="2" t="s">
        <v>11</v>
      </c>
      <c r="C42" s="2" t="s">
        <v>12</v>
      </c>
      <c r="D42" s="2" t="s">
        <v>213</v>
      </c>
      <c r="E42" s="2" t="s">
        <v>255</v>
      </c>
      <c r="F42" s="2">
        <v>0</v>
      </c>
      <c r="G42" s="2">
        <v>10</v>
      </c>
      <c r="H42" s="2">
        <v>5250</v>
      </c>
      <c r="I42" s="2">
        <v>-700</v>
      </c>
      <c r="J42">
        <v>30</v>
      </c>
      <c r="K42" t="str">
        <f t="shared" si="2"/>
        <v>Overstock</v>
      </c>
      <c r="L42">
        <f t="shared" si="1"/>
        <v>0</v>
      </c>
    </row>
    <row r="43" spans="1:12" x14ac:dyDescent="0.3">
      <c r="A43" s="2" t="s">
        <v>55</v>
      </c>
      <c r="B43" s="2" t="s">
        <v>14</v>
      </c>
      <c r="C43" s="2" t="s">
        <v>15</v>
      </c>
      <c r="D43" s="2" t="s">
        <v>214</v>
      </c>
      <c r="E43" s="2" t="s">
        <v>256</v>
      </c>
      <c r="F43" s="2">
        <v>0</v>
      </c>
      <c r="G43" s="2">
        <v>10</v>
      </c>
      <c r="H43" s="2">
        <v>5380</v>
      </c>
      <c r="I43" s="2">
        <v>-720</v>
      </c>
      <c r="J43">
        <v>30</v>
      </c>
      <c r="K43" t="str">
        <f t="shared" si="2"/>
        <v>Overstock</v>
      </c>
      <c r="L43">
        <f t="shared" si="1"/>
        <v>0</v>
      </c>
    </row>
    <row r="44" spans="1:12" x14ac:dyDescent="0.3">
      <c r="A44" s="2" t="s">
        <v>56</v>
      </c>
      <c r="B44" s="2" t="s">
        <v>11</v>
      </c>
      <c r="C44" s="2" t="s">
        <v>12</v>
      </c>
      <c r="D44" s="2" t="s">
        <v>213</v>
      </c>
      <c r="E44" s="2" t="s">
        <v>257</v>
      </c>
      <c r="F44" s="2">
        <v>0</v>
      </c>
      <c r="G44" s="2">
        <v>10</v>
      </c>
      <c r="H44" s="2">
        <v>5510</v>
      </c>
      <c r="I44" s="2">
        <v>-740</v>
      </c>
      <c r="J44">
        <v>30</v>
      </c>
      <c r="K44" t="str">
        <f t="shared" si="2"/>
        <v>Overstock</v>
      </c>
      <c r="L44">
        <f t="shared" si="1"/>
        <v>0</v>
      </c>
    </row>
    <row r="45" spans="1:12" x14ac:dyDescent="0.3">
      <c r="A45" s="2" t="s">
        <v>57</v>
      </c>
      <c r="B45" s="2" t="s">
        <v>14</v>
      </c>
      <c r="C45" s="2" t="s">
        <v>15</v>
      </c>
      <c r="D45" s="2" t="s">
        <v>214</v>
      </c>
      <c r="E45" s="2" t="s">
        <v>258</v>
      </c>
      <c r="F45" s="2">
        <v>0</v>
      </c>
      <c r="G45" s="2">
        <v>10</v>
      </c>
      <c r="H45" s="2">
        <v>5640</v>
      </c>
      <c r="I45" s="2">
        <v>-760</v>
      </c>
      <c r="J45">
        <v>30</v>
      </c>
      <c r="K45" t="str">
        <f t="shared" si="2"/>
        <v>Overstock</v>
      </c>
      <c r="L45">
        <f t="shared" si="1"/>
        <v>0</v>
      </c>
    </row>
    <row r="46" spans="1:12" x14ac:dyDescent="0.3">
      <c r="A46" s="2" t="s">
        <v>58</v>
      </c>
      <c r="B46" s="2" t="s">
        <v>11</v>
      </c>
      <c r="C46" s="2" t="s">
        <v>12</v>
      </c>
      <c r="D46" s="2" t="s">
        <v>213</v>
      </c>
      <c r="E46" s="2" t="s">
        <v>259</v>
      </c>
      <c r="F46" s="2">
        <v>0</v>
      </c>
      <c r="G46" s="2">
        <v>10</v>
      </c>
      <c r="H46" s="2">
        <v>5770</v>
      </c>
      <c r="I46" s="2">
        <v>-780</v>
      </c>
      <c r="J46">
        <v>30</v>
      </c>
      <c r="K46" t="str">
        <f t="shared" si="2"/>
        <v>Overstock</v>
      </c>
      <c r="L46">
        <f t="shared" si="1"/>
        <v>0</v>
      </c>
    </row>
    <row r="47" spans="1:12" x14ac:dyDescent="0.3">
      <c r="A47" s="2" t="s">
        <v>59</v>
      </c>
      <c r="B47" s="2" t="s">
        <v>14</v>
      </c>
      <c r="C47" s="2" t="s">
        <v>15</v>
      </c>
      <c r="D47" s="2" t="s">
        <v>214</v>
      </c>
      <c r="E47" s="2" t="s">
        <v>260</v>
      </c>
      <c r="F47" s="2">
        <v>0</v>
      </c>
      <c r="G47" s="2">
        <v>10</v>
      </c>
      <c r="H47" s="2">
        <v>5900</v>
      </c>
      <c r="I47" s="2">
        <v>-800</v>
      </c>
      <c r="J47">
        <v>30</v>
      </c>
      <c r="K47" t="str">
        <f t="shared" si="2"/>
        <v>Overstock</v>
      </c>
      <c r="L47">
        <f t="shared" si="1"/>
        <v>0</v>
      </c>
    </row>
    <row r="48" spans="1:12" x14ac:dyDescent="0.3">
      <c r="A48" s="2" t="s">
        <v>60</v>
      </c>
      <c r="B48" s="2" t="s">
        <v>11</v>
      </c>
      <c r="C48" s="2" t="s">
        <v>12</v>
      </c>
      <c r="D48" s="2" t="s">
        <v>213</v>
      </c>
      <c r="E48" s="2" t="s">
        <v>261</v>
      </c>
      <c r="F48" s="2">
        <v>0</v>
      </c>
      <c r="G48" s="2">
        <v>10</v>
      </c>
      <c r="H48" s="2">
        <v>6030</v>
      </c>
      <c r="I48" s="2">
        <v>-820</v>
      </c>
      <c r="J48">
        <v>30</v>
      </c>
      <c r="K48" t="str">
        <f t="shared" si="2"/>
        <v>Overstock</v>
      </c>
      <c r="L48">
        <f t="shared" si="1"/>
        <v>0</v>
      </c>
    </row>
    <row r="49" spans="1:12" x14ac:dyDescent="0.3">
      <c r="A49" s="2" t="s">
        <v>61</v>
      </c>
      <c r="B49" s="2" t="s">
        <v>14</v>
      </c>
      <c r="C49" s="2" t="s">
        <v>15</v>
      </c>
      <c r="D49" s="2" t="s">
        <v>214</v>
      </c>
      <c r="E49" s="2" t="s">
        <v>262</v>
      </c>
      <c r="F49" s="2">
        <v>0</v>
      </c>
      <c r="G49" s="2">
        <v>10</v>
      </c>
      <c r="H49" s="2">
        <v>6160</v>
      </c>
      <c r="I49" s="2">
        <v>-840</v>
      </c>
      <c r="J49">
        <v>30</v>
      </c>
      <c r="K49" t="str">
        <f t="shared" si="2"/>
        <v>Overstock</v>
      </c>
      <c r="L49">
        <f t="shared" si="1"/>
        <v>0</v>
      </c>
    </row>
    <row r="50" spans="1:12" x14ac:dyDescent="0.3">
      <c r="A50" s="2" t="s">
        <v>62</v>
      </c>
      <c r="B50" s="2" t="s">
        <v>11</v>
      </c>
      <c r="C50" s="2" t="s">
        <v>12</v>
      </c>
      <c r="D50" s="2" t="s">
        <v>213</v>
      </c>
      <c r="E50" s="2" t="s">
        <v>263</v>
      </c>
      <c r="F50" s="2">
        <v>0</v>
      </c>
      <c r="G50" s="2">
        <v>10</v>
      </c>
      <c r="H50" s="2">
        <v>6290</v>
      </c>
      <c r="I50" s="2">
        <v>-860</v>
      </c>
      <c r="J50">
        <v>30</v>
      </c>
      <c r="K50" t="str">
        <f t="shared" si="2"/>
        <v>Overstock</v>
      </c>
      <c r="L50">
        <f t="shared" si="1"/>
        <v>0</v>
      </c>
    </row>
    <row r="51" spans="1:12" x14ac:dyDescent="0.3">
      <c r="A51" s="2" t="s">
        <v>63</v>
      </c>
      <c r="B51" s="2" t="s">
        <v>14</v>
      </c>
      <c r="C51" s="2" t="s">
        <v>15</v>
      </c>
      <c r="D51" s="2" t="s">
        <v>214</v>
      </c>
      <c r="E51" s="2" t="s">
        <v>264</v>
      </c>
      <c r="F51" s="2">
        <v>0</v>
      </c>
      <c r="G51" s="2">
        <v>10</v>
      </c>
      <c r="H51" s="2">
        <v>6420</v>
      </c>
      <c r="I51" s="2">
        <v>-880</v>
      </c>
      <c r="J51">
        <v>30</v>
      </c>
      <c r="K51" t="str">
        <f t="shared" si="2"/>
        <v>Overstock</v>
      </c>
      <c r="L51">
        <f t="shared" si="1"/>
        <v>0</v>
      </c>
    </row>
    <row r="52" spans="1:12" x14ac:dyDescent="0.3">
      <c r="A52" s="2" t="s">
        <v>64</v>
      </c>
      <c r="B52" s="2" t="s">
        <v>11</v>
      </c>
      <c r="C52" s="2" t="s">
        <v>12</v>
      </c>
      <c r="D52" s="2" t="s">
        <v>213</v>
      </c>
      <c r="E52" s="2" t="s">
        <v>265</v>
      </c>
      <c r="F52" s="2">
        <v>0</v>
      </c>
      <c r="G52" s="2">
        <v>10</v>
      </c>
      <c r="H52" s="2">
        <v>6550</v>
      </c>
      <c r="I52" s="2">
        <v>-900</v>
      </c>
      <c r="J52">
        <v>30</v>
      </c>
      <c r="K52" t="str">
        <f t="shared" si="2"/>
        <v>Overstock</v>
      </c>
      <c r="L52">
        <f t="shared" si="1"/>
        <v>0</v>
      </c>
    </row>
    <row r="53" spans="1:12" x14ac:dyDescent="0.3">
      <c r="A53" s="2" t="s">
        <v>65</v>
      </c>
      <c r="B53" s="2" t="s">
        <v>14</v>
      </c>
      <c r="C53" s="2" t="s">
        <v>15</v>
      </c>
      <c r="D53" s="2" t="s">
        <v>214</v>
      </c>
      <c r="E53" s="2" t="s">
        <v>266</v>
      </c>
      <c r="F53" s="2">
        <v>0</v>
      </c>
      <c r="G53" s="2">
        <v>10</v>
      </c>
      <c r="H53" s="2">
        <v>6680</v>
      </c>
      <c r="I53" s="2">
        <v>-920</v>
      </c>
      <c r="J53">
        <v>30</v>
      </c>
      <c r="K53" t="str">
        <f t="shared" si="2"/>
        <v>Overstock</v>
      </c>
      <c r="L53">
        <f t="shared" si="1"/>
        <v>0</v>
      </c>
    </row>
    <row r="54" spans="1:12" x14ac:dyDescent="0.3">
      <c r="A54" s="2" t="s">
        <v>66</v>
      </c>
      <c r="B54" s="2" t="s">
        <v>11</v>
      </c>
      <c r="C54" s="2" t="s">
        <v>12</v>
      </c>
      <c r="D54" s="2" t="s">
        <v>213</v>
      </c>
      <c r="E54" s="2" t="s">
        <v>267</v>
      </c>
      <c r="F54" s="2">
        <v>0</v>
      </c>
      <c r="G54" s="2">
        <v>10</v>
      </c>
      <c r="H54" s="2">
        <v>6810</v>
      </c>
      <c r="I54" s="2">
        <v>-940</v>
      </c>
      <c r="J54">
        <v>30</v>
      </c>
      <c r="K54" t="str">
        <f t="shared" si="2"/>
        <v>Overstock</v>
      </c>
      <c r="L54">
        <f t="shared" si="1"/>
        <v>0</v>
      </c>
    </row>
    <row r="55" spans="1:12" x14ac:dyDescent="0.3">
      <c r="A55" s="2" t="s">
        <v>67</v>
      </c>
      <c r="B55" s="2" t="s">
        <v>14</v>
      </c>
      <c r="C55" s="2" t="s">
        <v>15</v>
      </c>
      <c r="D55" s="2" t="s">
        <v>214</v>
      </c>
      <c r="E55" s="2" t="s">
        <v>268</v>
      </c>
      <c r="F55" s="2">
        <v>0</v>
      </c>
      <c r="G55" s="2">
        <v>10</v>
      </c>
      <c r="H55" s="2">
        <v>6940</v>
      </c>
      <c r="I55" s="2">
        <v>-960</v>
      </c>
      <c r="J55">
        <v>30</v>
      </c>
      <c r="K55" t="str">
        <f t="shared" si="2"/>
        <v>Overstock</v>
      </c>
      <c r="L55">
        <f t="shared" si="1"/>
        <v>0</v>
      </c>
    </row>
    <row r="56" spans="1:12" x14ac:dyDescent="0.3">
      <c r="A56" s="2" t="s">
        <v>68</v>
      </c>
      <c r="B56" s="2" t="s">
        <v>11</v>
      </c>
      <c r="C56" s="2" t="s">
        <v>12</v>
      </c>
      <c r="D56" s="2" t="s">
        <v>213</v>
      </c>
      <c r="E56" s="2" t="s">
        <v>269</v>
      </c>
      <c r="F56" s="2">
        <v>0</v>
      </c>
      <c r="G56" s="2">
        <v>10</v>
      </c>
      <c r="H56" s="2">
        <v>7070</v>
      </c>
      <c r="I56" s="2">
        <v>-980</v>
      </c>
      <c r="J56">
        <v>30</v>
      </c>
      <c r="K56" t="str">
        <f t="shared" si="2"/>
        <v>Overstock</v>
      </c>
      <c r="L56">
        <f t="shared" si="1"/>
        <v>0</v>
      </c>
    </row>
    <row r="57" spans="1:12" x14ac:dyDescent="0.3">
      <c r="A57" s="2" t="s">
        <v>69</v>
      </c>
      <c r="B57" s="2" t="s">
        <v>14</v>
      </c>
      <c r="C57" s="2" t="s">
        <v>15</v>
      </c>
      <c r="D57" s="2" t="s">
        <v>214</v>
      </c>
      <c r="E57" s="2" t="s">
        <v>270</v>
      </c>
      <c r="F57" s="2">
        <v>0</v>
      </c>
      <c r="G57" s="2">
        <v>10</v>
      </c>
      <c r="H57" s="2">
        <v>7200</v>
      </c>
      <c r="I57" s="2">
        <v>-1000</v>
      </c>
      <c r="J57">
        <v>30</v>
      </c>
      <c r="K57" t="str">
        <f t="shared" si="2"/>
        <v>Overstock</v>
      </c>
      <c r="L57">
        <f t="shared" si="1"/>
        <v>0</v>
      </c>
    </row>
    <row r="58" spans="1:12" x14ac:dyDescent="0.3">
      <c r="A58" s="2" t="s">
        <v>70</v>
      </c>
      <c r="B58" s="2" t="s">
        <v>11</v>
      </c>
      <c r="C58" s="2" t="s">
        <v>12</v>
      </c>
      <c r="D58" s="2" t="s">
        <v>213</v>
      </c>
      <c r="E58" s="2" t="s">
        <v>271</v>
      </c>
      <c r="F58" s="2">
        <v>0</v>
      </c>
      <c r="G58" s="2">
        <v>10</v>
      </c>
      <c r="H58" s="2">
        <v>7330</v>
      </c>
      <c r="I58" s="2">
        <v>-1020</v>
      </c>
      <c r="J58">
        <v>30</v>
      </c>
      <c r="K58" t="str">
        <f t="shared" si="2"/>
        <v>Overstock</v>
      </c>
      <c r="L58">
        <f t="shared" si="1"/>
        <v>0</v>
      </c>
    </row>
    <row r="59" spans="1:12" x14ac:dyDescent="0.3">
      <c r="A59" s="2" t="s">
        <v>71</v>
      </c>
      <c r="B59" s="2" t="s">
        <v>14</v>
      </c>
      <c r="C59" s="2" t="s">
        <v>15</v>
      </c>
      <c r="D59" s="2" t="s">
        <v>214</v>
      </c>
      <c r="E59" s="2" t="s">
        <v>272</v>
      </c>
      <c r="F59" s="2">
        <v>0</v>
      </c>
      <c r="G59" s="2">
        <v>10</v>
      </c>
      <c r="H59" s="2">
        <v>7460</v>
      </c>
      <c r="I59" s="2">
        <v>-1040</v>
      </c>
      <c r="J59">
        <v>30</v>
      </c>
      <c r="K59" t="str">
        <f t="shared" si="2"/>
        <v>Overstock</v>
      </c>
      <c r="L59">
        <f t="shared" si="1"/>
        <v>0</v>
      </c>
    </row>
    <row r="60" spans="1:12" x14ac:dyDescent="0.3">
      <c r="A60" s="2" t="s">
        <v>72</v>
      </c>
      <c r="B60" s="2" t="s">
        <v>11</v>
      </c>
      <c r="C60" s="2" t="s">
        <v>12</v>
      </c>
      <c r="D60" s="2" t="s">
        <v>213</v>
      </c>
      <c r="E60" s="2" t="s">
        <v>273</v>
      </c>
      <c r="F60" s="2">
        <v>0</v>
      </c>
      <c r="G60" s="2">
        <v>10</v>
      </c>
      <c r="H60" s="2">
        <v>7590</v>
      </c>
      <c r="I60" s="2">
        <v>-1060</v>
      </c>
      <c r="J60">
        <v>30</v>
      </c>
      <c r="K60" t="str">
        <f t="shared" si="2"/>
        <v>Overstock</v>
      </c>
      <c r="L60">
        <f t="shared" si="1"/>
        <v>0</v>
      </c>
    </row>
    <row r="61" spans="1:12" x14ac:dyDescent="0.3">
      <c r="A61" s="2" t="s">
        <v>73</v>
      </c>
      <c r="B61" s="2" t="s">
        <v>14</v>
      </c>
      <c r="C61" s="2" t="s">
        <v>15</v>
      </c>
      <c r="D61" s="2" t="s">
        <v>214</v>
      </c>
      <c r="E61" s="2" t="s">
        <v>274</v>
      </c>
      <c r="F61" s="2">
        <v>0</v>
      </c>
      <c r="G61" s="2">
        <v>10</v>
      </c>
      <c r="H61" s="2">
        <v>7720</v>
      </c>
      <c r="I61" s="2">
        <v>-1080</v>
      </c>
      <c r="J61">
        <v>30</v>
      </c>
      <c r="K61" t="str">
        <f t="shared" si="2"/>
        <v>Overstock</v>
      </c>
      <c r="L61">
        <f t="shared" si="1"/>
        <v>0</v>
      </c>
    </row>
    <row r="62" spans="1:12" x14ac:dyDescent="0.3">
      <c r="A62" s="2" t="s">
        <v>74</v>
      </c>
      <c r="B62" s="2" t="s">
        <v>11</v>
      </c>
      <c r="C62" s="2" t="s">
        <v>12</v>
      </c>
      <c r="D62" s="2" t="s">
        <v>213</v>
      </c>
      <c r="E62" s="2" t="s">
        <v>275</v>
      </c>
      <c r="F62" s="2">
        <v>0</v>
      </c>
      <c r="G62" s="2">
        <v>10</v>
      </c>
      <c r="H62" s="2">
        <v>7850</v>
      </c>
      <c r="I62" s="2">
        <v>-1100</v>
      </c>
      <c r="J62">
        <v>30</v>
      </c>
      <c r="K62" t="str">
        <f t="shared" si="2"/>
        <v>Overstock</v>
      </c>
      <c r="L62">
        <f t="shared" si="1"/>
        <v>0</v>
      </c>
    </row>
    <row r="63" spans="1:12" x14ac:dyDescent="0.3">
      <c r="A63" s="2" t="s">
        <v>75</v>
      </c>
      <c r="B63" s="2" t="s">
        <v>14</v>
      </c>
      <c r="C63" s="2" t="s">
        <v>15</v>
      </c>
      <c r="D63" s="2" t="s">
        <v>214</v>
      </c>
      <c r="E63" s="2" t="s">
        <v>276</v>
      </c>
      <c r="F63" s="2">
        <v>0</v>
      </c>
      <c r="G63" s="2">
        <v>10</v>
      </c>
      <c r="H63" s="2">
        <v>7980</v>
      </c>
      <c r="I63" s="2">
        <v>-1120</v>
      </c>
      <c r="J63">
        <v>30</v>
      </c>
      <c r="K63" t="str">
        <f t="shared" si="2"/>
        <v>Overstock</v>
      </c>
      <c r="L63">
        <f t="shared" si="1"/>
        <v>0</v>
      </c>
    </row>
    <row r="64" spans="1:12" x14ac:dyDescent="0.3">
      <c r="A64" s="2" t="s">
        <v>76</v>
      </c>
      <c r="B64" s="2" t="s">
        <v>11</v>
      </c>
      <c r="C64" s="2" t="s">
        <v>12</v>
      </c>
      <c r="D64" s="2" t="s">
        <v>213</v>
      </c>
      <c r="E64" s="2" t="s">
        <v>277</v>
      </c>
      <c r="F64" s="2">
        <v>0</v>
      </c>
      <c r="G64" s="2">
        <v>10</v>
      </c>
      <c r="H64" s="2">
        <v>8110</v>
      </c>
      <c r="I64" s="2">
        <v>-1140</v>
      </c>
      <c r="J64">
        <v>30</v>
      </c>
      <c r="K64" t="str">
        <f t="shared" si="2"/>
        <v>Overstock</v>
      </c>
      <c r="L64">
        <f t="shared" si="1"/>
        <v>0</v>
      </c>
    </row>
    <row r="65" spans="1:12" x14ac:dyDescent="0.3">
      <c r="A65" s="2" t="s">
        <v>77</v>
      </c>
      <c r="B65" s="2" t="s">
        <v>14</v>
      </c>
      <c r="C65" s="2" t="s">
        <v>15</v>
      </c>
      <c r="D65" s="2" t="s">
        <v>214</v>
      </c>
      <c r="E65" s="2" t="s">
        <v>278</v>
      </c>
      <c r="F65" s="2">
        <v>0</v>
      </c>
      <c r="G65" s="2">
        <v>10</v>
      </c>
      <c r="H65" s="2">
        <v>8240</v>
      </c>
      <c r="I65" s="2">
        <v>-1160</v>
      </c>
      <c r="J65">
        <v>30</v>
      </c>
      <c r="K65" t="str">
        <f t="shared" si="2"/>
        <v>Overstock</v>
      </c>
      <c r="L65">
        <f t="shared" si="1"/>
        <v>0</v>
      </c>
    </row>
    <row r="66" spans="1:12" x14ac:dyDescent="0.3">
      <c r="A66" s="2" t="s">
        <v>78</v>
      </c>
      <c r="B66" s="2" t="s">
        <v>11</v>
      </c>
      <c r="C66" s="2" t="s">
        <v>12</v>
      </c>
      <c r="D66" s="2" t="s">
        <v>213</v>
      </c>
      <c r="E66" s="2" t="s">
        <v>279</v>
      </c>
      <c r="F66" s="2">
        <v>0</v>
      </c>
      <c r="G66" s="2">
        <v>10</v>
      </c>
      <c r="H66" s="2">
        <v>8370</v>
      </c>
      <c r="I66" s="2">
        <v>-1180</v>
      </c>
      <c r="J66">
        <v>30</v>
      </c>
      <c r="K66" t="str">
        <f t="shared" ref="K66:K97" si="3">IF(H66&lt;I66,"Understock",
 IF(H66&gt;I66*2,"Overstock","Optimal"))</f>
        <v>Overstock</v>
      </c>
      <c r="L66">
        <f t="shared" si="1"/>
        <v>0</v>
      </c>
    </row>
    <row r="67" spans="1:12" x14ac:dyDescent="0.3">
      <c r="A67" s="2" t="s">
        <v>79</v>
      </c>
      <c r="B67" s="2" t="s">
        <v>14</v>
      </c>
      <c r="C67" s="2" t="s">
        <v>15</v>
      </c>
      <c r="D67" s="2" t="s">
        <v>214</v>
      </c>
      <c r="E67" s="2" t="s">
        <v>280</v>
      </c>
      <c r="F67" s="2">
        <v>0</v>
      </c>
      <c r="G67" s="2">
        <v>10</v>
      </c>
      <c r="H67" s="2">
        <v>8500</v>
      </c>
      <c r="I67" s="2">
        <v>-1200</v>
      </c>
      <c r="J67">
        <v>30</v>
      </c>
      <c r="K67" t="str">
        <f t="shared" si="3"/>
        <v>Overstock</v>
      </c>
      <c r="L67">
        <f t="shared" ref="L67:L130" si="4">IFERROR(G67/F67,0)</f>
        <v>0</v>
      </c>
    </row>
    <row r="68" spans="1:12" x14ac:dyDescent="0.3">
      <c r="A68" s="2" t="s">
        <v>80</v>
      </c>
      <c r="B68" s="2" t="s">
        <v>11</v>
      </c>
      <c r="C68" s="2" t="s">
        <v>12</v>
      </c>
      <c r="D68" s="2" t="s">
        <v>213</v>
      </c>
      <c r="E68" s="2" t="s">
        <v>281</v>
      </c>
      <c r="F68" s="2">
        <v>0</v>
      </c>
      <c r="G68" s="2">
        <v>10</v>
      </c>
      <c r="H68" s="2">
        <v>8630</v>
      </c>
      <c r="I68" s="2">
        <v>-1220</v>
      </c>
      <c r="J68">
        <v>30</v>
      </c>
      <c r="K68" t="str">
        <f t="shared" si="3"/>
        <v>Overstock</v>
      </c>
      <c r="L68">
        <f t="shared" si="4"/>
        <v>0</v>
      </c>
    </row>
    <row r="69" spans="1:12" x14ac:dyDescent="0.3">
      <c r="A69" s="2" t="s">
        <v>81</v>
      </c>
      <c r="B69" s="2" t="s">
        <v>14</v>
      </c>
      <c r="C69" s="2" t="s">
        <v>15</v>
      </c>
      <c r="D69" s="2" t="s">
        <v>214</v>
      </c>
      <c r="E69" s="2" t="s">
        <v>282</v>
      </c>
      <c r="F69" s="2">
        <v>0</v>
      </c>
      <c r="G69" s="2">
        <v>10</v>
      </c>
      <c r="H69" s="2">
        <v>8760</v>
      </c>
      <c r="I69" s="2">
        <v>-1240</v>
      </c>
      <c r="J69">
        <v>30</v>
      </c>
      <c r="K69" t="str">
        <f t="shared" si="3"/>
        <v>Overstock</v>
      </c>
      <c r="L69">
        <f t="shared" si="4"/>
        <v>0</v>
      </c>
    </row>
    <row r="70" spans="1:12" x14ac:dyDescent="0.3">
      <c r="A70" s="2" t="s">
        <v>82</v>
      </c>
      <c r="B70" s="2" t="s">
        <v>11</v>
      </c>
      <c r="C70" s="2" t="s">
        <v>12</v>
      </c>
      <c r="D70" s="2" t="s">
        <v>213</v>
      </c>
      <c r="E70" s="2" t="s">
        <v>283</v>
      </c>
      <c r="F70" s="2">
        <v>0</v>
      </c>
      <c r="G70" s="2">
        <v>10</v>
      </c>
      <c r="H70" s="2">
        <v>8890</v>
      </c>
      <c r="I70" s="2">
        <v>-1260</v>
      </c>
      <c r="J70">
        <v>30</v>
      </c>
      <c r="K70" t="str">
        <f t="shared" si="3"/>
        <v>Overstock</v>
      </c>
      <c r="L70">
        <f t="shared" si="4"/>
        <v>0</v>
      </c>
    </row>
    <row r="71" spans="1:12" x14ac:dyDescent="0.3">
      <c r="A71" s="2" t="s">
        <v>83</v>
      </c>
      <c r="B71" s="2" t="s">
        <v>14</v>
      </c>
      <c r="C71" s="2" t="s">
        <v>15</v>
      </c>
      <c r="D71" s="2" t="s">
        <v>214</v>
      </c>
      <c r="E71" s="2" t="s">
        <v>284</v>
      </c>
      <c r="F71" s="2">
        <v>0</v>
      </c>
      <c r="G71" s="2">
        <v>10</v>
      </c>
      <c r="H71" s="2">
        <v>9020</v>
      </c>
      <c r="I71" s="2">
        <v>-1280</v>
      </c>
      <c r="J71">
        <v>30</v>
      </c>
      <c r="K71" t="str">
        <f t="shared" si="3"/>
        <v>Overstock</v>
      </c>
      <c r="L71">
        <f t="shared" si="4"/>
        <v>0</v>
      </c>
    </row>
    <row r="72" spans="1:12" x14ac:dyDescent="0.3">
      <c r="A72" s="2" t="s">
        <v>84</v>
      </c>
      <c r="B72" s="2" t="s">
        <v>11</v>
      </c>
      <c r="C72" s="2" t="s">
        <v>12</v>
      </c>
      <c r="D72" s="2" t="s">
        <v>213</v>
      </c>
      <c r="E72" s="2" t="s">
        <v>285</v>
      </c>
      <c r="F72" s="2">
        <v>0</v>
      </c>
      <c r="G72" s="2">
        <v>10</v>
      </c>
      <c r="H72" s="2">
        <v>9150</v>
      </c>
      <c r="I72" s="2">
        <v>-1300</v>
      </c>
      <c r="J72">
        <v>30</v>
      </c>
      <c r="K72" t="str">
        <f t="shared" si="3"/>
        <v>Overstock</v>
      </c>
      <c r="L72">
        <f t="shared" si="4"/>
        <v>0</v>
      </c>
    </row>
    <row r="73" spans="1:12" x14ac:dyDescent="0.3">
      <c r="A73" s="2" t="s">
        <v>85</v>
      </c>
      <c r="B73" s="2" t="s">
        <v>14</v>
      </c>
      <c r="C73" s="2" t="s">
        <v>15</v>
      </c>
      <c r="D73" s="2" t="s">
        <v>214</v>
      </c>
      <c r="E73" s="2" t="s">
        <v>286</v>
      </c>
      <c r="F73" s="2">
        <v>0</v>
      </c>
      <c r="G73" s="2">
        <v>10</v>
      </c>
      <c r="H73" s="2">
        <v>9280</v>
      </c>
      <c r="I73" s="2">
        <v>-1320</v>
      </c>
      <c r="J73">
        <v>30</v>
      </c>
      <c r="K73" t="str">
        <f t="shared" si="3"/>
        <v>Overstock</v>
      </c>
      <c r="L73">
        <f t="shared" si="4"/>
        <v>0</v>
      </c>
    </row>
    <row r="74" spans="1:12" x14ac:dyDescent="0.3">
      <c r="A74" s="2" t="s">
        <v>86</v>
      </c>
      <c r="B74" s="2" t="s">
        <v>11</v>
      </c>
      <c r="C74" s="2" t="s">
        <v>12</v>
      </c>
      <c r="D74" s="2" t="s">
        <v>213</v>
      </c>
      <c r="E74" s="2" t="s">
        <v>287</v>
      </c>
      <c r="F74" s="2">
        <v>0</v>
      </c>
      <c r="G74" s="2">
        <v>10</v>
      </c>
      <c r="H74" s="2">
        <v>9410</v>
      </c>
      <c r="I74" s="2">
        <v>-1340</v>
      </c>
      <c r="J74">
        <v>30</v>
      </c>
      <c r="K74" t="str">
        <f t="shared" si="3"/>
        <v>Overstock</v>
      </c>
      <c r="L74">
        <f t="shared" si="4"/>
        <v>0</v>
      </c>
    </row>
    <row r="75" spans="1:12" x14ac:dyDescent="0.3">
      <c r="A75" s="2" t="s">
        <v>87</v>
      </c>
      <c r="B75" s="2" t="s">
        <v>14</v>
      </c>
      <c r="C75" s="2" t="s">
        <v>15</v>
      </c>
      <c r="D75" s="2" t="s">
        <v>214</v>
      </c>
      <c r="E75" s="2" t="s">
        <v>288</v>
      </c>
      <c r="F75" s="2">
        <v>0</v>
      </c>
      <c r="G75" s="2">
        <v>10</v>
      </c>
      <c r="H75" s="2">
        <v>9540</v>
      </c>
      <c r="I75" s="2">
        <v>-1360</v>
      </c>
      <c r="J75">
        <v>30</v>
      </c>
      <c r="K75" t="str">
        <f t="shared" si="3"/>
        <v>Overstock</v>
      </c>
      <c r="L75">
        <f t="shared" si="4"/>
        <v>0</v>
      </c>
    </row>
    <row r="76" spans="1:12" x14ac:dyDescent="0.3">
      <c r="A76" s="2" t="s">
        <v>88</v>
      </c>
      <c r="B76" s="2" t="s">
        <v>11</v>
      </c>
      <c r="C76" s="2" t="s">
        <v>12</v>
      </c>
      <c r="D76" s="2" t="s">
        <v>213</v>
      </c>
      <c r="E76" s="2" t="s">
        <v>289</v>
      </c>
      <c r="F76" s="2">
        <v>0</v>
      </c>
      <c r="G76" s="2">
        <v>10</v>
      </c>
      <c r="H76" s="2">
        <v>9670</v>
      </c>
      <c r="I76" s="2">
        <v>-1380</v>
      </c>
      <c r="J76">
        <v>30</v>
      </c>
      <c r="K76" t="str">
        <f t="shared" si="3"/>
        <v>Overstock</v>
      </c>
      <c r="L76">
        <f t="shared" si="4"/>
        <v>0</v>
      </c>
    </row>
    <row r="77" spans="1:12" x14ac:dyDescent="0.3">
      <c r="A77" s="2" t="s">
        <v>89</v>
      </c>
      <c r="B77" s="2" t="s">
        <v>14</v>
      </c>
      <c r="C77" s="2" t="s">
        <v>15</v>
      </c>
      <c r="D77" s="2" t="s">
        <v>214</v>
      </c>
      <c r="E77" s="2" t="s">
        <v>290</v>
      </c>
      <c r="F77" s="2">
        <v>0</v>
      </c>
      <c r="G77" s="2">
        <v>10</v>
      </c>
      <c r="H77" s="2">
        <v>9800</v>
      </c>
      <c r="I77" s="2">
        <v>-1400</v>
      </c>
      <c r="J77">
        <v>30</v>
      </c>
      <c r="K77" t="str">
        <f t="shared" si="3"/>
        <v>Overstock</v>
      </c>
      <c r="L77">
        <f t="shared" si="4"/>
        <v>0</v>
      </c>
    </row>
    <row r="78" spans="1:12" x14ac:dyDescent="0.3">
      <c r="A78" s="2" t="s">
        <v>90</v>
      </c>
      <c r="B78" s="2" t="s">
        <v>11</v>
      </c>
      <c r="C78" s="2" t="s">
        <v>12</v>
      </c>
      <c r="D78" s="2" t="s">
        <v>213</v>
      </c>
      <c r="E78" s="2" t="s">
        <v>291</v>
      </c>
      <c r="F78" s="2">
        <v>0</v>
      </c>
      <c r="G78" s="2">
        <v>10</v>
      </c>
      <c r="H78" s="2">
        <v>9930</v>
      </c>
      <c r="I78" s="2">
        <v>-1420</v>
      </c>
      <c r="J78">
        <v>30</v>
      </c>
      <c r="K78" t="str">
        <f t="shared" si="3"/>
        <v>Overstock</v>
      </c>
      <c r="L78">
        <f t="shared" si="4"/>
        <v>0</v>
      </c>
    </row>
    <row r="79" spans="1:12" x14ac:dyDescent="0.3">
      <c r="A79" s="2" t="s">
        <v>91</v>
      </c>
      <c r="B79" s="2" t="s">
        <v>14</v>
      </c>
      <c r="C79" s="2" t="s">
        <v>15</v>
      </c>
      <c r="D79" s="2" t="s">
        <v>214</v>
      </c>
      <c r="E79" s="2" t="s">
        <v>292</v>
      </c>
      <c r="F79" s="2">
        <v>0</v>
      </c>
      <c r="G79" s="2">
        <v>10</v>
      </c>
      <c r="H79" s="2">
        <v>10060</v>
      </c>
      <c r="I79" s="2">
        <v>-1440</v>
      </c>
      <c r="J79">
        <v>30</v>
      </c>
      <c r="K79" t="str">
        <f t="shared" si="3"/>
        <v>Overstock</v>
      </c>
      <c r="L79">
        <f t="shared" si="4"/>
        <v>0</v>
      </c>
    </row>
    <row r="80" spans="1:12" x14ac:dyDescent="0.3">
      <c r="A80" s="2" t="s">
        <v>92</v>
      </c>
      <c r="B80" s="2" t="s">
        <v>11</v>
      </c>
      <c r="C80" s="2" t="s">
        <v>12</v>
      </c>
      <c r="D80" s="2" t="s">
        <v>213</v>
      </c>
      <c r="E80" s="2" t="s">
        <v>293</v>
      </c>
      <c r="F80" s="2">
        <v>0</v>
      </c>
      <c r="G80" s="2">
        <v>10</v>
      </c>
      <c r="H80" s="2">
        <v>10190</v>
      </c>
      <c r="I80" s="2">
        <v>-1460</v>
      </c>
      <c r="J80">
        <v>30</v>
      </c>
      <c r="K80" t="str">
        <f t="shared" si="3"/>
        <v>Overstock</v>
      </c>
      <c r="L80">
        <f t="shared" si="4"/>
        <v>0</v>
      </c>
    </row>
    <row r="81" spans="1:12" x14ac:dyDescent="0.3">
      <c r="A81" s="2" t="s">
        <v>93</v>
      </c>
      <c r="B81" s="2" t="s">
        <v>14</v>
      </c>
      <c r="C81" s="2" t="s">
        <v>15</v>
      </c>
      <c r="D81" s="2" t="s">
        <v>214</v>
      </c>
      <c r="E81" s="2" t="s">
        <v>294</v>
      </c>
      <c r="F81" s="2">
        <v>0</v>
      </c>
      <c r="G81" s="2">
        <v>10</v>
      </c>
      <c r="H81" s="2">
        <v>10320</v>
      </c>
      <c r="I81" s="2">
        <v>-1480</v>
      </c>
      <c r="J81">
        <v>30</v>
      </c>
      <c r="K81" t="str">
        <f t="shared" si="3"/>
        <v>Overstock</v>
      </c>
      <c r="L81">
        <f t="shared" si="4"/>
        <v>0</v>
      </c>
    </row>
    <row r="82" spans="1:12" x14ac:dyDescent="0.3">
      <c r="A82" s="2" t="s">
        <v>94</v>
      </c>
      <c r="B82" s="2" t="s">
        <v>11</v>
      </c>
      <c r="C82" s="2" t="s">
        <v>12</v>
      </c>
      <c r="D82" s="2" t="s">
        <v>213</v>
      </c>
      <c r="E82" s="2" t="s">
        <v>295</v>
      </c>
      <c r="F82" s="2">
        <v>0</v>
      </c>
      <c r="G82" s="2">
        <v>10</v>
      </c>
      <c r="H82" s="2">
        <v>10450</v>
      </c>
      <c r="I82" s="2">
        <v>-1500</v>
      </c>
      <c r="J82">
        <v>30</v>
      </c>
      <c r="K82" t="str">
        <f t="shared" si="3"/>
        <v>Overstock</v>
      </c>
      <c r="L82">
        <f t="shared" si="4"/>
        <v>0</v>
      </c>
    </row>
    <row r="83" spans="1:12" x14ac:dyDescent="0.3">
      <c r="A83" s="2" t="s">
        <v>95</v>
      </c>
      <c r="B83" s="2" t="s">
        <v>14</v>
      </c>
      <c r="C83" s="2" t="s">
        <v>15</v>
      </c>
      <c r="D83" s="2" t="s">
        <v>214</v>
      </c>
      <c r="E83" s="2" t="s">
        <v>296</v>
      </c>
      <c r="F83" s="2">
        <v>0</v>
      </c>
      <c r="G83" s="2">
        <v>10</v>
      </c>
      <c r="H83" s="2">
        <v>10580</v>
      </c>
      <c r="I83" s="2">
        <v>-1520</v>
      </c>
      <c r="J83">
        <v>30</v>
      </c>
      <c r="K83" t="str">
        <f t="shared" si="3"/>
        <v>Overstock</v>
      </c>
      <c r="L83">
        <f t="shared" si="4"/>
        <v>0</v>
      </c>
    </row>
    <row r="84" spans="1:12" x14ac:dyDescent="0.3">
      <c r="A84" s="2" t="s">
        <v>96</v>
      </c>
      <c r="B84" s="2" t="s">
        <v>11</v>
      </c>
      <c r="C84" s="2" t="s">
        <v>12</v>
      </c>
      <c r="D84" s="2" t="s">
        <v>213</v>
      </c>
      <c r="E84" s="2" t="s">
        <v>297</v>
      </c>
      <c r="F84" s="2">
        <v>0</v>
      </c>
      <c r="G84" s="2">
        <v>10</v>
      </c>
      <c r="H84" s="2">
        <v>10710</v>
      </c>
      <c r="I84" s="2">
        <v>-1540</v>
      </c>
      <c r="J84">
        <v>30</v>
      </c>
      <c r="K84" t="str">
        <f t="shared" si="3"/>
        <v>Overstock</v>
      </c>
      <c r="L84">
        <f t="shared" si="4"/>
        <v>0</v>
      </c>
    </row>
    <row r="85" spans="1:12" x14ac:dyDescent="0.3">
      <c r="A85" s="2" t="s">
        <v>97</v>
      </c>
      <c r="B85" s="2" t="s">
        <v>14</v>
      </c>
      <c r="C85" s="2" t="s">
        <v>15</v>
      </c>
      <c r="D85" s="2" t="s">
        <v>214</v>
      </c>
      <c r="E85" s="2" t="s">
        <v>298</v>
      </c>
      <c r="F85" s="2">
        <v>0</v>
      </c>
      <c r="G85" s="2">
        <v>10</v>
      </c>
      <c r="H85" s="2">
        <v>10840</v>
      </c>
      <c r="I85" s="2">
        <v>-1560</v>
      </c>
      <c r="J85">
        <v>30</v>
      </c>
      <c r="K85" t="str">
        <f t="shared" si="3"/>
        <v>Overstock</v>
      </c>
      <c r="L85">
        <f t="shared" si="4"/>
        <v>0</v>
      </c>
    </row>
    <row r="86" spans="1:12" x14ac:dyDescent="0.3">
      <c r="A86" s="2" t="s">
        <v>98</v>
      </c>
      <c r="B86" s="2" t="s">
        <v>11</v>
      </c>
      <c r="C86" s="2" t="s">
        <v>12</v>
      </c>
      <c r="D86" s="2" t="s">
        <v>213</v>
      </c>
      <c r="E86" s="2" t="s">
        <v>299</v>
      </c>
      <c r="F86" s="2">
        <v>0</v>
      </c>
      <c r="G86" s="2">
        <v>10</v>
      </c>
      <c r="H86" s="2">
        <v>10970</v>
      </c>
      <c r="I86" s="2">
        <v>-1580</v>
      </c>
      <c r="J86">
        <v>30</v>
      </c>
      <c r="K86" t="str">
        <f t="shared" si="3"/>
        <v>Overstock</v>
      </c>
      <c r="L86">
        <f t="shared" si="4"/>
        <v>0</v>
      </c>
    </row>
    <row r="87" spans="1:12" x14ac:dyDescent="0.3">
      <c r="A87" s="2" t="s">
        <v>99</v>
      </c>
      <c r="B87" s="2" t="s">
        <v>14</v>
      </c>
      <c r="C87" s="2" t="s">
        <v>15</v>
      </c>
      <c r="D87" s="2" t="s">
        <v>214</v>
      </c>
      <c r="E87" s="2" t="s">
        <v>300</v>
      </c>
      <c r="F87" s="2">
        <v>0</v>
      </c>
      <c r="G87" s="2">
        <v>10</v>
      </c>
      <c r="H87" s="2">
        <v>11100</v>
      </c>
      <c r="I87" s="2">
        <v>-1600</v>
      </c>
      <c r="J87">
        <v>30</v>
      </c>
      <c r="K87" t="str">
        <f t="shared" si="3"/>
        <v>Overstock</v>
      </c>
      <c r="L87">
        <f t="shared" si="4"/>
        <v>0</v>
      </c>
    </row>
    <row r="88" spans="1:12" x14ac:dyDescent="0.3">
      <c r="A88" s="2" t="s">
        <v>100</v>
      </c>
      <c r="B88" s="2" t="s">
        <v>11</v>
      </c>
      <c r="C88" s="2" t="s">
        <v>12</v>
      </c>
      <c r="D88" s="2" t="s">
        <v>213</v>
      </c>
      <c r="E88" s="2" t="s">
        <v>301</v>
      </c>
      <c r="F88" s="2">
        <v>0</v>
      </c>
      <c r="G88" s="2">
        <v>10</v>
      </c>
      <c r="H88" s="2">
        <v>11230</v>
      </c>
      <c r="I88" s="2">
        <v>-1620</v>
      </c>
      <c r="J88">
        <v>30</v>
      </c>
      <c r="K88" t="str">
        <f t="shared" si="3"/>
        <v>Overstock</v>
      </c>
      <c r="L88">
        <f t="shared" si="4"/>
        <v>0</v>
      </c>
    </row>
    <row r="89" spans="1:12" x14ac:dyDescent="0.3">
      <c r="A89" s="2" t="s">
        <v>101</v>
      </c>
      <c r="B89" s="2" t="s">
        <v>14</v>
      </c>
      <c r="C89" s="2" t="s">
        <v>15</v>
      </c>
      <c r="D89" s="2" t="s">
        <v>214</v>
      </c>
      <c r="E89" s="2" t="s">
        <v>302</v>
      </c>
      <c r="F89" s="2">
        <v>0</v>
      </c>
      <c r="G89" s="2">
        <v>10</v>
      </c>
      <c r="H89" s="2">
        <v>11360</v>
      </c>
      <c r="I89" s="2">
        <v>-1640</v>
      </c>
      <c r="J89">
        <v>30</v>
      </c>
      <c r="K89" t="str">
        <f t="shared" si="3"/>
        <v>Overstock</v>
      </c>
      <c r="L89">
        <f t="shared" si="4"/>
        <v>0</v>
      </c>
    </row>
    <row r="90" spans="1:12" x14ac:dyDescent="0.3">
      <c r="A90" s="2" t="s">
        <v>102</v>
      </c>
      <c r="B90" s="2" t="s">
        <v>11</v>
      </c>
      <c r="C90" s="2" t="s">
        <v>12</v>
      </c>
      <c r="D90" s="2" t="s">
        <v>213</v>
      </c>
      <c r="E90" s="2" t="s">
        <v>303</v>
      </c>
      <c r="F90" s="2">
        <v>0</v>
      </c>
      <c r="G90" s="2">
        <v>10</v>
      </c>
      <c r="H90" s="2">
        <v>11490</v>
      </c>
      <c r="I90" s="2">
        <v>-1660</v>
      </c>
      <c r="J90">
        <v>30</v>
      </c>
      <c r="K90" t="str">
        <f t="shared" si="3"/>
        <v>Overstock</v>
      </c>
      <c r="L90">
        <f t="shared" si="4"/>
        <v>0</v>
      </c>
    </row>
    <row r="91" spans="1:12" x14ac:dyDescent="0.3">
      <c r="A91" s="2" t="s">
        <v>103</v>
      </c>
      <c r="B91" s="2" t="s">
        <v>14</v>
      </c>
      <c r="C91" s="2" t="s">
        <v>15</v>
      </c>
      <c r="D91" s="2" t="s">
        <v>214</v>
      </c>
      <c r="E91" s="2" t="s">
        <v>304</v>
      </c>
      <c r="F91" s="2">
        <v>0</v>
      </c>
      <c r="G91" s="2">
        <v>10</v>
      </c>
      <c r="H91" s="2">
        <v>11620</v>
      </c>
      <c r="I91" s="2">
        <v>-1680</v>
      </c>
      <c r="J91">
        <v>30</v>
      </c>
      <c r="K91" t="str">
        <f t="shared" si="3"/>
        <v>Overstock</v>
      </c>
      <c r="L91">
        <f t="shared" si="4"/>
        <v>0</v>
      </c>
    </row>
    <row r="92" spans="1:12" x14ac:dyDescent="0.3">
      <c r="A92" s="2" t="s">
        <v>104</v>
      </c>
      <c r="B92" s="2" t="s">
        <v>11</v>
      </c>
      <c r="C92" s="2" t="s">
        <v>12</v>
      </c>
      <c r="D92" s="2" t="s">
        <v>213</v>
      </c>
      <c r="E92" s="2" t="s">
        <v>305</v>
      </c>
      <c r="F92" s="2">
        <v>0</v>
      </c>
      <c r="G92" s="2">
        <v>10</v>
      </c>
      <c r="H92" s="2">
        <v>11750</v>
      </c>
      <c r="I92" s="2">
        <v>-1700</v>
      </c>
      <c r="J92">
        <v>30</v>
      </c>
      <c r="K92" t="str">
        <f t="shared" si="3"/>
        <v>Overstock</v>
      </c>
      <c r="L92">
        <f t="shared" si="4"/>
        <v>0</v>
      </c>
    </row>
    <row r="93" spans="1:12" x14ac:dyDescent="0.3">
      <c r="A93" s="2" t="s">
        <v>105</v>
      </c>
      <c r="B93" s="2" t="s">
        <v>14</v>
      </c>
      <c r="C93" s="2" t="s">
        <v>15</v>
      </c>
      <c r="D93" s="2" t="s">
        <v>214</v>
      </c>
      <c r="E93" s="2" t="s">
        <v>306</v>
      </c>
      <c r="F93" s="2">
        <v>0</v>
      </c>
      <c r="G93" s="2">
        <v>10</v>
      </c>
      <c r="H93" s="2">
        <v>11880</v>
      </c>
      <c r="I93" s="2">
        <v>-1720</v>
      </c>
      <c r="J93">
        <v>30</v>
      </c>
      <c r="K93" t="str">
        <f t="shared" si="3"/>
        <v>Overstock</v>
      </c>
      <c r="L93">
        <f t="shared" si="4"/>
        <v>0</v>
      </c>
    </row>
    <row r="94" spans="1:12" x14ac:dyDescent="0.3">
      <c r="A94" s="2" t="s">
        <v>106</v>
      </c>
      <c r="B94" s="2" t="s">
        <v>11</v>
      </c>
      <c r="C94" s="2" t="s">
        <v>12</v>
      </c>
      <c r="D94" s="2" t="s">
        <v>213</v>
      </c>
      <c r="E94" s="2" t="s">
        <v>307</v>
      </c>
      <c r="F94" s="2">
        <v>0</v>
      </c>
      <c r="G94" s="2">
        <v>10</v>
      </c>
      <c r="H94" s="2">
        <v>12010</v>
      </c>
      <c r="I94" s="2">
        <v>-1740</v>
      </c>
      <c r="J94">
        <v>30</v>
      </c>
      <c r="K94" t="str">
        <f t="shared" si="3"/>
        <v>Overstock</v>
      </c>
      <c r="L94">
        <f t="shared" si="4"/>
        <v>0</v>
      </c>
    </row>
    <row r="95" spans="1:12" x14ac:dyDescent="0.3">
      <c r="A95" s="2" t="s">
        <v>107</v>
      </c>
      <c r="B95" s="2" t="s">
        <v>14</v>
      </c>
      <c r="C95" s="2" t="s">
        <v>15</v>
      </c>
      <c r="D95" s="2" t="s">
        <v>214</v>
      </c>
      <c r="E95" s="2" t="s">
        <v>308</v>
      </c>
      <c r="F95" s="2">
        <v>0</v>
      </c>
      <c r="G95" s="2">
        <v>10</v>
      </c>
      <c r="H95" s="2">
        <v>12140</v>
      </c>
      <c r="I95" s="2">
        <v>-1760</v>
      </c>
      <c r="J95">
        <v>30</v>
      </c>
      <c r="K95" t="str">
        <f t="shared" si="3"/>
        <v>Overstock</v>
      </c>
      <c r="L95">
        <f t="shared" si="4"/>
        <v>0</v>
      </c>
    </row>
    <row r="96" spans="1:12" x14ac:dyDescent="0.3">
      <c r="A96" s="2" t="s">
        <v>108</v>
      </c>
      <c r="B96" s="2" t="s">
        <v>11</v>
      </c>
      <c r="C96" s="2" t="s">
        <v>12</v>
      </c>
      <c r="D96" s="2" t="s">
        <v>213</v>
      </c>
      <c r="E96" s="2" t="s">
        <v>309</v>
      </c>
      <c r="F96" s="2">
        <v>0</v>
      </c>
      <c r="G96" s="2">
        <v>10</v>
      </c>
      <c r="H96" s="2">
        <v>12270</v>
      </c>
      <c r="I96" s="2">
        <v>-1780</v>
      </c>
      <c r="J96">
        <v>30</v>
      </c>
      <c r="K96" t="str">
        <f t="shared" si="3"/>
        <v>Overstock</v>
      </c>
      <c r="L96">
        <f t="shared" si="4"/>
        <v>0</v>
      </c>
    </row>
    <row r="97" spans="1:12" x14ac:dyDescent="0.3">
      <c r="A97" s="2" t="s">
        <v>109</v>
      </c>
      <c r="B97" s="2" t="s">
        <v>14</v>
      </c>
      <c r="C97" s="2" t="s">
        <v>15</v>
      </c>
      <c r="D97" s="2" t="s">
        <v>214</v>
      </c>
      <c r="E97" s="2" t="s">
        <v>310</v>
      </c>
      <c r="F97" s="2">
        <v>0</v>
      </c>
      <c r="G97" s="2">
        <v>10</v>
      </c>
      <c r="H97" s="2">
        <v>12400</v>
      </c>
      <c r="I97" s="2">
        <v>-1800</v>
      </c>
      <c r="J97">
        <v>30</v>
      </c>
      <c r="K97" t="str">
        <f t="shared" si="3"/>
        <v>Overstock</v>
      </c>
      <c r="L97">
        <f t="shared" si="4"/>
        <v>0</v>
      </c>
    </row>
    <row r="98" spans="1:12" x14ac:dyDescent="0.3">
      <c r="A98" s="2" t="s">
        <v>110</v>
      </c>
      <c r="B98" s="2" t="s">
        <v>11</v>
      </c>
      <c r="C98" s="2" t="s">
        <v>12</v>
      </c>
      <c r="D98" s="2" t="s">
        <v>213</v>
      </c>
      <c r="E98" s="2" t="s">
        <v>311</v>
      </c>
      <c r="F98" s="2">
        <v>0</v>
      </c>
      <c r="G98" s="2">
        <v>10</v>
      </c>
      <c r="H98" s="2">
        <v>12530</v>
      </c>
      <c r="I98" s="2">
        <v>-1820</v>
      </c>
      <c r="J98">
        <v>30</v>
      </c>
      <c r="K98" t="str">
        <f t="shared" ref="K98:K129" si="5">IF(H98&lt;I98,"Understock",
 IF(H98&gt;I98*2,"Overstock","Optimal"))</f>
        <v>Overstock</v>
      </c>
      <c r="L98">
        <f t="shared" si="4"/>
        <v>0</v>
      </c>
    </row>
    <row r="99" spans="1:12" x14ac:dyDescent="0.3">
      <c r="A99" s="2" t="s">
        <v>111</v>
      </c>
      <c r="B99" s="2" t="s">
        <v>14</v>
      </c>
      <c r="C99" s="2" t="s">
        <v>15</v>
      </c>
      <c r="D99" s="2" t="s">
        <v>214</v>
      </c>
      <c r="E99" s="2" t="s">
        <v>312</v>
      </c>
      <c r="F99" s="2">
        <v>0</v>
      </c>
      <c r="G99" s="2">
        <v>10</v>
      </c>
      <c r="H99" s="2">
        <v>12660</v>
      </c>
      <c r="I99" s="2">
        <v>-1840</v>
      </c>
      <c r="J99">
        <v>30</v>
      </c>
      <c r="K99" t="str">
        <f t="shared" si="5"/>
        <v>Overstock</v>
      </c>
      <c r="L99">
        <f t="shared" si="4"/>
        <v>0</v>
      </c>
    </row>
    <row r="100" spans="1:12" x14ac:dyDescent="0.3">
      <c r="A100" s="2" t="s">
        <v>112</v>
      </c>
      <c r="B100" s="2" t="s">
        <v>11</v>
      </c>
      <c r="C100" s="2" t="s">
        <v>12</v>
      </c>
      <c r="D100" s="2" t="s">
        <v>213</v>
      </c>
      <c r="E100" s="2" t="s">
        <v>313</v>
      </c>
      <c r="F100" s="2">
        <v>0</v>
      </c>
      <c r="G100" s="2">
        <v>10</v>
      </c>
      <c r="H100" s="2">
        <v>12790</v>
      </c>
      <c r="I100" s="2">
        <v>-1860</v>
      </c>
      <c r="J100">
        <v>30</v>
      </c>
      <c r="K100" t="str">
        <f t="shared" si="5"/>
        <v>Overstock</v>
      </c>
      <c r="L100">
        <f t="shared" si="4"/>
        <v>0</v>
      </c>
    </row>
    <row r="101" spans="1:12" x14ac:dyDescent="0.3">
      <c r="A101" s="2" t="s">
        <v>113</v>
      </c>
      <c r="B101" s="2" t="s">
        <v>14</v>
      </c>
      <c r="C101" s="2" t="s">
        <v>15</v>
      </c>
      <c r="D101" s="2" t="s">
        <v>214</v>
      </c>
      <c r="E101" s="2" t="s">
        <v>314</v>
      </c>
      <c r="F101" s="2">
        <v>0</v>
      </c>
      <c r="G101" s="2">
        <v>10</v>
      </c>
      <c r="H101" s="2">
        <v>12920</v>
      </c>
      <c r="I101" s="2">
        <v>-1880</v>
      </c>
      <c r="J101">
        <v>30</v>
      </c>
      <c r="K101" t="str">
        <f t="shared" si="5"/>
        <v>Overstock</v>
      </c>
      <c r="L101">
        <f t="shared" si="4"/>
        <v>0</v>
      </c>
    </row>
    <row r="102" spans="1:12" x14ac:dyDescent="0.3">
      <c r="A102" s="2" t="s">
        <v>114</v>
      </c>
      <c r="B102" s="2" t="s">
        <v>11</v>
      </c>
      <c r="C102" s="2" t="s">
        <v>12</v>
      </c>
      <c r="D102" s="2" t="s">
        <v>213</v>
      </c>
      <c r="E102" s="2" t="s">
        <v>315</v>
      </c>
      <c r="F102" s="2">
        <v>0</v>
      </c>
      <c r="G102" s="2">
        <v>10</v>
      </c>
      <c r="H102" s="2">
        <v>13050</v>
      </c>
      <c r="I102" s="2">
        <v>-1900</v>
      </c>
      <c r="J102">
        <v>30</v>
      </c>
      <c r="K102" t="str">
        <f t="shared" si="5"/>
        <v>Overstock</v>
      </c>
      <c r="L102">
        <f t="shared" si="4"/>
        <v>0</v>
      </c>
    </row>
    <row r="103" spans="1:12" x14ac:dyDescent="0.3">
      <c r="A103" s="2" t="s">
        <v>115</v>
      </c>
      <c r="B103" s="2" t="s">
        <v>14</v>
      </c>
      <c r="C103" s="2" t="s">
        <v>15</v>
      </c>
      <c r="D103" s="2" t="s">
        <v>214</v>
      </c>
      <c r="E103" s="2" t="s">
        <v>316</v>
      </c>
      <c r="F103" s="2">
        <v>0</v>
      </c>
      <c r="G103" s="2">
        <v>10</v>
      </c>
      <c r="H103" s="2">
        <v>13180</v>
      </c>
      <c r="I103" s="2">
        <v>-1920</v>
      </c>
      <c r="J103">
        <v>30</v>
      </c>
      <c r="K103" t="str">
        <f t="shared" si="5"/>
        <v>Overstock</v>
      </c>
      <c r="L103">
        <f t="shared" si="4"/>
        <v>0</v>
      </c>
    </row>
    <row r="104" spans="1:12" x14ac:dyDescent="0.3">
      <c r="A104" s="2" t="s">
        <v>116</v>
      </c>
      <c r="B104" s="2" t="s">
        <v>11</v>
      </c>
      <c r="C104" s="2" t="s">
        <v>12</v>
      </c>
      <c r="D104" s="2" t="s">
        <v>213</v>
      </c>
      <c r="E104" s="2" t="s">
        <v>317</v>
      </c>
      <c r="F104" s="2">
        <v>0</v>
      </c>
      <c r="G104" s="2">
        <v>10</v>
      </c>
      <c r="H104" s="2">
        <v>13310</v>
      </c>
      <c r="I104" s="2">
        <v>-1940</v>
      </c>
      <c r="J104">
        <v>30</v>
      </c>
      <c r="K104" t="str">
        <f t="shared" si="5"/>
        <v>Overstock</v>
      </c>
      <c r="L104">
        <f t="shared" si="4"/>
        <v>0</v>
      </c>
    </row>
    <row r="105" spans="1:12" x14ac:dyDescent="0.3">
      <c r="A105" s="2" t="s">
        <v>117</v>
      </c>
      <c r="B105" s="2" t="s">
        <v>14</v>
      </c>
      <c r="C105" s="2" t="s">
        <v>15</v>
      </c>
      <c r="D105" s="2" t="s">
        <v>214</v>
      </c>
      <c r="E105" s="2" t="s">
        <v>318</v>
      </c>
      <c r="F105" s="2">
        <v>0</v>
      </c>
      <c r="G105" s="2">
        <v>10</v>
      </c>
      <c r="H105" s="2">
        <v>13440</v>
      </c>
      <c r="I105" s="2">
        <v>-1960</v>
      </c>
      <c r="J105">
        <v>30</v>
      </c>
      <c r="K105" t="str">
        <f t="shared" si="5"/>
        <v>Overstock</v>
      </c>
      <c r="L105">
        <f t="shared" si="4"/>
        <v>0</v>
      </c>
    </row>
    <row r="106" spans="1:12" x14ac:dyDescent="0.3">
      <c r="A106" s="2" t="s">
        <v>118</v>
      </c>
      <c r="B106" s="2" t="s">
        <v>11</v>
      </c>
      <c r="C106" s="2" t="s">
        <v>12</v>
      </c>
      <c r="D106" s="2" t="s">
        <v>213</v>
      </c>
      <c r="E106" s="2" t="s">
        <v>319</v>
      </c>
      <c r="F106" s="2">
        <v>0</v>
      </c>
      <c r="G106" s="2">
        <v>10</v>
      </c>
      <c r="H106" s="2">
        <v>13570</v>
      </c>
      <c r="I106" s="2">
        <v>-1980</v>
      </c>
      <c r="J106">
        <v>30</v>
      </c>
      <c r="K106" t="str">
        <f t="shared" si="5"/>
        <v>Overstock</v>
      </c>
      <c r="L106">
        <f t="shared" si="4"/>
        <v>0</v>
      </c>
    </row>
    <row r="107" spans="1:12" x14ac:dyDescent="0.3">
      <c r="A107" s="2" t="s">
        <v>119</v>
      </c>
      <c r="B107" s="2" t="s">
        <v>14</v>
      </c>
      <c r="C107" s="2" t="s">
        <v>15</v>
      </c>
      <c r="D107" s="2" t="s">
        <v>214</v>
      </c>
      <c r="E107" s="2" t="s">
        <v>320</v>
      </c>
      <c r="F107" s="2">
        <v>0</v>
      </c>
      <c r="G107" s="2">
        <v>10</v>
      </c>
      <c r="H107" s="2">
        <v>13700</v>
      </c>
      <c r="I107" s="2">
        <v>-2000</v>
      </c>
      <c r="J107">
        <v>30</v>
      </c>
      <c r="K107" t="str">
        <f t="shared" si="5"/>
        <v>Overstock</v>
      </c>
      <c r="L107">
        <f t="shared" si="4"/>
        <v>0</v>
      </c>
    </row>
    <row r="108" spans="1:12" x14ac:dyDescent="0.3">
      <c r="A108" s="2" t="s">
        <v>120</v>
      </c>
      <c r="B108" s="2" t="s">
        <v>11</v>
      </c>
      <c r="C108" s="2" t="s">
        <v>12</v>
      </c>
      <c r="D108" s="2" t="s">
        <v>213</v>
      </c>
      <c r="E108" s="2" t="s">
        <v>321</v>
      </c>
      <c r="F108" s="2">
        <v>0</v>
      </c>
      <c r="G108" s="2">
        <v>10</v>
      </c>
      <c r="H108" s="2">
        <v>13830</v>
      </c>
      <c r="I108" s="2">
        <v>-2020</v>
      </c>
      <c r="J108">
        <v>30</v>
      </c>
      <c r="K108" t="str">
        <f t="shared" si="5"/>
        <v>Overstock</v>
      </c>
      <c r="L108">
        <f t="shared" si="4"/>
        <v>0</v>
      </c>
    </row>
    <row r="109" spans="1:12" x14ac:dyDescent="0.3">
      <c r="A109" s="2" t="s">
        <v>121</v>
      </c>
      <c r="B109" s="2" t="s">
        <v>14</v>
      </c>
      <c r="C109" s="2" t="s">
        <v>15</v>
      </c>
      <c r="D109" s="2" t="s">
        <v>214</v>
      </c>
      <c r="E109" s="2" t="s">
        <v>322</v>
      </c>
      <c r="F109" s="2">
        <v>0</v>
      </c>
      <c r="G109" s="2">
        <v>10</v>
      </c>
      <c r="H109" s="2">
        <v>13960</v>
      </c>
      <c r="I109" s="2">
        <v>-2040</v>
      </c>
      <c r="J109">
        <v>30</v>
      </c>
      <c r="K109" t="str">
        <f t="shared" si="5"/>
        <v>Overstock</v>
      </c>
      <c r="L109">
        <f t="shared" si="4"/>
        <v>0</v>
      </c>
    </row>
    <row r="110" spans="1:12" x14ac:dyDescent="0.3">
      <c r="A110" s="2" t="s">
        <v>122</v>
      </c>
      <c r="B110" s="2" t="s">
        <v>11</v>
      </c>
      <c r="C110" s="2" t="s">
        <v>12</v>
      </c>
      <c r="D110" s="2" t="s">
        <v>213</v>
      </c>
      <c r="E110" s="2" t="s">
        <v>323</v>
      </c>
      <c r="F110" s="2">
        <v>0</v>
      </c>
      <c r="G110" s="2">
        <v>10</v>
      </c>
      <c r="H110" s="2">
        <v>14090</v>
      </c>
      <c r="I110" s="2">
        <v>-2060</v>
      </c>
      <c r="J110">
        <v>30</v>
      </c>
      <c r="K110" t="str">
        <f t="shared" si="5"/>
        <v>Overstock</v>
      </c>
      <c r="L110">
        <f t="shared" si="4"/>
        <v>0</v>
      </c>
    </row>
    <row r="111" spans="1:12" x14ac:dyDescent="0.3">
      <c r="A111" s="2" t="s">
        <v>123</v>
      </c>
      <c r="B111" s="2" t="s">
        <v>14</v>
      </c>
      <c r="C111" s="2" t="s">
        <v>15</v>
      </c>
      <c r="D111" s="2" t="s">
        <v>214</v>
      </c>
      <c r="E111" s="2" t="s">
        <v>324</v>
      </c>
      <c r="F111" s="2">
        <v>0</v>
      </c>
      <c r="G111" s="2">
        <v>10</v>
      </c>
      <c r="H111" s="2">
        <v>14220</v>
      </c>
      <c r="I111" s="2">
        <v>-2080</v>
      </c>
      <c r="J111">
        <v>30</v>
      </c>
      <c r="K111" t="str">
        <f t="shared" si="5"/>
        <v>Overstock</v>
      </c>
      <c r="L111">
        <f t="shared" si="4"/>
        <v>0</v>
      </c>
    </row>
    <row r="112" spans="1:12" x14ac:dyDescent="0.3">
      <c r="A112" s="2" t="s">
        <v>124</v>
      </c>
      <c r="B112" s="2" t="s">
        <v>11</v>
      </c>
      <c r="C112" s="2" t="s">
        <v>12</v>
      </c>
      <c r="D112" s="2" t="s">
        <v>213</v>
      </c>
      <c r="E112" s="2" t="s">
        <v>325</v>
      </c>
      <c r="F112" s="2">
        <v>0</v>
      </c>
      <c r="G112" s="2">
        <v>10</v>
      </c>
      <c r="H112" s="2">
        <v>14350</v>
      </c>
      <c r="I112" s="2">
        <v>-2100</v>
      </c>
      <c r="J112">
        <v>30</v>
      </c>
      <c r="K112" t="str">
        <f t="shared" si="5"/>
        <v>Overstock</v>
      </c>
      <c r="L112">
        <f t="shared" si="4"/>
        <v>0</v>
      </c>
    </row>
    <row r="113" spans="1:12" x14ac:dyDescent="0.3">
      <c r="A113" s="2" t="s">
        <v>125</v>
      </c>
      <c r="B113" s="2" t="s">
        <v>14</v>
      </c>
      <c r="C113" s="2" t="s">
        <v>15</v>
      </c>
      <c r="D113" s="2" t="s">
        <v>214</v>
      </c>
      <c r="E113" s="2" t="s">
        <v>326</v>
      </c>
      <c r="F113" s="2">
        <v>0</v>
      </c>
      <c r="G113" s="2">
        <v>10</v>
      </c>
      <c r="H113" s="2">
        <v>14480</v>
      </c>
      <c r="I113" s="2">
        <v>-2120</v>
      </c>
      <c r="J113">
        <v>30</v>
      </c>
      <c r="K113" t="str">
        <f t="shared" si="5"/>
        <v>Overstock</v>
      </c>
      <c r="L113">
        <f t="shared" si="4"/>
        <v>0</v>
      </c>
    </row>
    <row r="114" spans="1:12" x14ac:dyDescent="0.3">
      <c r="A114" s="2" t="s">
        <v>126</v>
      </c>
      <c r="B114" s="2" t="s">
        <v>11</v>
      </c>
      <c r="C114" s="2" t="s">
        <v>12</v>
      </c>
      <c r="D114" s="2" t="s">
        <v>213</v>
      </c>
      <c r="E114" s="2" t="s">
        <v>327</v>
      </c>
      <c r="F114" s="2">
        <v>0</v>
      </c>
      <c r="G114" s="2">
        <v>10</v>
      </c>
      <c r="H114" s="2">
        <v>14610</v>
      </c>
      <c r="I114" s="2">
        <v>-2140</v>
      </c>
      <c r="J114">
        <v>30</v>
      </c>
      <c r="K114" t="str">
        <f t="shared" si="5"/>
        <v>Overstock</v>
      </c>
      <c r="L114">
        <f t="shared" si="4"/>
        <v>0</v>
      </c>
    </row>
    <row r="115" spans="1:12" x14ac:dyDescent="0.3">
      <c r="A115" s="2" t="s">
        <v>127</v>
      </c>
      <c r="B115" s="2" t="s">
        <v>14</v>
      </c>
      <c r="C115" s="2" t="s">
        <v>15</v>
      </c>
      <c r="D115" s="2" t="s">
        <v>214</v>
      </c>
      <c r="E115" s="2" t="s">
        <v>328</v>
      </c>
      <c r="F115" s="2">
        <v>0</v>
      </c>
      <c r="G115" s="2">
        <v>10</v>
      </c>
      <c r="H115" s="2">
        <v>14740</v>
      </c>
      <c r="I115" s="2">
        <v>-2160</v>
      </c>
      <c r="J115">
        <v>30</v>
      </c>
      <c r="K115" t="str">
        <f t="shared" si="5"/>
        <v>Overstock</v>
      </c>
      <c r="L115">
        <f t="shared" si="4"/>
        <v>0</v>
      </c>
    </row>
    <row r="116" spans="1:12" x14ac:dyDescent="0.3">
      <c r="A116" s="2" t="s">
        <v>128</v>
      </c>
      <c r="B116" s="2" t="s">
        <v>11</v>
      </c>
      <c r="C116" s="2" t="s">
        <v>12</v>
      </c>
      <c r="D116" s="2" t="s">
        <v>213</v>
      </c>
      <c r="E116" s="2" t="s">
        <v>329</v>
      </c>
      <c r="F116" s="2">
        <v>0</v>
      </c>
      <c r="G116" s="2">
        <v>10</v>
      </c>
      <c r="H116" s="2">
        <v>14870</v>
      </c>
      <c r="I116" s="2">
        <v>-2180</v>
      </c>
      <c r="J116">
        <v>30</v>
      </c>
      <c r="K116" t="str">
        <f t="shared" si="5"/>
        <v>Overstock</v>
      </c>
      <c r="L116">
        <f t="shared" si="4"/>
        <v>0</v>
      </c>
    </row>
    <row r="117" spans="1:12" x14ac:dyDescent="0.3">
      <c r="A117" s="2" t="s">
        <v>129</v>
      </c>
      <c r="B117" s="2" t="s">
        <v>14</v>
      </c>
      <c r="C117" s="2" t="s">
        <v>15</v>
      </c>
      <c r="D117" s="2" t="s">
        <v>214</v>
      </c>
      <c r="E117" s="2" t="s">
        <v>330</v>
      </c>
      <c r="F117" s="2">
        <v>0</v>
      </c>
      <c r="G117" s="2">
        <v>10</v>
      </c>
      <c r="H117" s="2">
        <v>15000</v>
      </c>
      <c r="I117" s="2">
        <v>-2200</v>
      </c>
      <c r="J117">
        <v>30</v>
      </c>
      <c r="K117" t="str">
        <f t="shared" si="5"/>
        <v>Overstock</v>
      </c>
      <c r="L117">
        <f t="shared" si="4"/>
        <v>0</v>
      </c>
    </row>
    <row r="118" spans="1:12" x14ac:dyDescent="0.3">
      <c r="A118" s="2" t="s">
        <v>130</v>
      </c>
      <c r="B118" s="2" t="s">
        <v>11</v>
      </c>
      <c r="C118" s="2" t="s">
        <v>12</v>
      </c>
      <c r="D118" s="2" t="s">
        <v>213</v>
      </c>
      <c r="E118" s="2" t="s">
        <v>331</v>
      </c>
      <c r="F118" s="2">
        <v>0</v>
      </c>
      <c r="G118" s="2">
        <v>10</v>
      </c>
      <c r="H118" s="2">
        <v>15130</v>
      </c>
      <c r="I118" s="2">
        <v>-2220</v>
      </c>
      <c r="J118">
        <v>30</v>
      </c>
      <c r="K118" t="str">
        <f t="shared" si="5"/>
        <v>Overstock</v>
      </c>
      <c r="L118">
        <f t="shared" si="4"/>
        <v>0</v>
      </c>
    </row>
    <row r="119" spans="1:12" x14ac:dyDescent="0.3">
      <c r="A119" s="2" t="s">
        <v>131</v>
      </c>
      <c r="B119" s="2" t="s">
        <v>14</v>
      </c>
      <c r="C119" s="2" t="s">
        <v>15</v>
      </c>
      <c r="D119" s="2" t="s">
        <v>214</v>
      </c>
      <c r="E119" s="2" t="s">
        <v>332</v>
      </c>
      <c r="F119" s="2">
        <v>0</v>
      </c>
      <c r="G119" s="2">
        <v>10</v>
      </c>
      <c r="H119" s="2">
        <v>15260</v>
      </c>
      <c r="I119" s="2">
        <v>-2240</v>
      </c>
      <c r="J119">
        <v>30</v>
      </c>
      <c r="K119" t="str">
        <f t="shared" si="5"/>
        <v>Overstock</v>
      </c>
      <c r="L119">
        <f t="shared" si="4"/>
        <v>0</v>
      </c>
    </row>
    <row r="120" spans="1:12" x14ac:dyDescent="0.3">
      <c r="A120" s="2" t="s">
        <v>132</v>
      </c>
      <c r="B120" s="2" t="s">
        <v>11</v>
      </c>
      <c r="C120" s="2" t="s">
        <v>12</v>
      </c>
      <c r="D120" s="2" t="s">
        <v>213</v>
      </c>
      <c r="E120" s="2" t="s">
        <v>333</v>
      </c>
      <c r="F120" s="2">
        <v>0</v>
      </c>
      <c r="G120" s="2">
        <v>10</v>
      </c>
      <c r="H120" s="2">
        <v>15390</v>
      </c>
      <c r="I120" s="2">
        <v>-2260</v>
      </c>
      <c r="J120">
        <v>30</v>
      </c>
      <c r="K120" t="str">
        <f t="shared" si="5"/>
        <v>Overstock</v>
      </c>
      <c r="L120">
        <f t="shared" si="4"/>
        <v>0</v>
      </c>
    </row>
    <row r="121" spans="1:12" x14ac:dyDescent="0.3">
      <c r="A121" s="2" t="s">
        <v>133</v>
      </c>
      <c r="B121" s="2" t="s">
        <v>14</v>
      </c>
      <c r="C121" s="2" t="s">
        <v>15</v>
      </c>
      <c r="D121" s="2" t="s">
        <v>214</v>
      </c>
      <c r="E121" s="2" t="s">
        <v>334</v>
      </c>
      <c r="F121" s="2">
        <v>0</v>
      </c>
      <c r="G121" s="2">
        <v>10</v>
      </c>
      <c r="H121" s="2">
        <v>15520</v>
      </c>
      <c r="I121" s="2">
        <v>-2280</v>
      </c>
      <c r="J121">
        <v>30</v>
      </c>
      <c r="K121" t="str">
        <f t="shared" si="5"/>
        <v>Overstock</v>
      </c>
      <c r="L121">
        <f t="shared" si="4"/>
        <v>0</v>
      </c>
    </row>
    <row r="122" spans="1:12" x14ac:dyDescent="0.3">
      <c r="A122" s="2" t="s">
        <v>134</v>
      </c>
      <c r="B122" s="2" t="s">
        <v>11</v>
      </c>
      <c r="C122" s="2" t="s">
        <v>12</v>
      </c>
      <c r="D122" s="2" t="s">
        <v>213</v>
      </c>
      <c r="E122" s="2" t="s">
        <v>335</v>
      </c>
      <c r="F122" s="2">
        <v>0</v>
      </c>
      <c r="G122" s="2">
        <v>10</v>
      </c>
      <c r="H122" s="2">
        <v>15650</v>
      </c>
      <c r="I122" s="2">
        <v>-2300</v>
      </c>
      <c r="J122">
        <v>30</v>
      </c>
      <c r="K122" t="str">
        <f t="shared" si="5"/>
        <v>Overstock</v>
      </c>
      <c r="L122">
        <f t="shared" si="4"/>
        <v>0</v>
      </c>
    </row>
    <row r="123" spans="1:12" x14ac:dyDescent="0.3">
      <c r="A123" s="2" t="s">
        <v>135</v>
      </c>
      <c r="B123" s="2" t="s">
        <v>14</v>
      </c>
      <c r="C123" s="2" t="s">
        <v>15</v>
      </c>
      <c r="D123" s="2" t="s">
        <v>214</v>
      </c>
      <c r="E123" s="2" t="s">
        <v>336</v>
      </c>
      <c r="F123" s="2">
        <v>0</v>
      </c>
      <c r="G123" s="2">
        <v>10</v>
      </c>
      <c r="H123" s="2">
        <v>15780</v>
      </c>
      <c r="I123" s="2">
        <v>-2320</v>
      </c>
      <c r="J123">
        <v>30</v>
      </c>
      <c r="K123" t="str">
        <f t="shared" si="5"/>
        <v>Overstock</v>
      </c>
      <c r="L123">
        <f t="shared" si="4"/>
        <v>0</v>
      </c>
    </row>
    <row r="124" spans="1:12" x14ac:dyDescent="0.3">
      <c r="A124" s="2" t="s">
        <v>136</v>
      </c>
      <c r="B124" s="2" t="s">
        <v>11</v>
      </c>
      <c r="C124" s="2" t="s">
        <v>12</v>
      </c>
      <c r="D124" s="2" t="s">
        <v>213</v>
      </c>
      <c r="E124" s="2" t="s">
        <v>337</v>
      </c>
      <c r="F124" s="2">
        <v>0</v>
      </c>
      <c r="G124" s="2">
        <v>10</v>
      </c>
      <c r="H124" s="2">
        <v>15910</v>
      </c>
      <c r="I124" s="2">
        <v>-2340</v>
      </c>
      <c r="J124">
        <v>30</v>
      </c>
      <c r="K124" t="str">
        <f t="shared" si="5"/>
        <v>Overstock</v>
      </c>
      <c r="L124">
        <f t="shared" si="4"/>
        <v>0</v>
      </c>
    </row>
    <row r="125" spans="1:12" x14ac:dyDescent="0.3">
      <c r="A125" s="2" t="s">
        <v>137</v>
      </c>
      <c r="B125" s="2" t="s">
        <v>14</v>
      </c>
      <c r="C125" s="2" t="s">
        <v>15</v>
      </c>
      <c r="D125" s="2" t="s">
        <v>214</v>
      </c>
      <c r="E125" s="2" t="s">
        <v>338</v>
      </c>
      <c r="F125" s="2">
        <v>0</v>
      </c>
      <c r="G125" s="2">
        <v>10</v>
      </c>
      <c r="H125" s="2">
        <v>16040</v>
      </c>
      <c r="I125" s="2">
        <v>-2360</v>
      </c>
      <c r="J125">
        <v>30</v>
      </c>
      <c r="K125" t="str">
        <f t="shared" si="5"/>
        <v>Overstock</v>
      </c>
      <c r="L125">
        <f t="shared" si="4"/>
        <v>0</v>
      </c>
    </row>
    <row r="126" spans="1:12" x14ac:dyDescent="0.3">
      <c r="A126" s="2" t="s">
        <v>138</v>
      </c>
      <c r="B126" s="2" t="s">
        <v>11</v>
      </c>
      <c r="C126" s="2" t="s">
        <v>12</v>
      </c>
      <c r="D126" s="2" t="s">
        <v>213</v>
      </c>
      <c r="E126" s="2" t="s">
        <v>339</v>
      </c>
      <c r="F126" s="2">
        <v>0</v>
      </c>
      <c r="G126" s="2">
        <v>10</v>
      </c>
      <c r="H126" s="2">
        <v>16170</v>
      </c>
      <c r="I126" s="2">
        <v>-2380</v>
      </c>
      <c r="J126">
        <v>30</v>
      </c>
      <c r="K126" t="str">
        <f t="shared" si="5"/>
        <v>Overstock</v>
      </c>
      <c r="L126">
        <f t="shared" si="4"/>
        <v>0</v>
      </c>
    </row>
    <row r="127" spans="1:12" x14ac:dyDescent="0.3">
      <c r="A127" s="2" t="s">
        <v>139</v>
      </c>
      <c r="B127" s="2" t="s">
        <v>14</v>
      </c>
      <c r="C127" s="2" t="s">
        <v>15</v>
      </c>
      <c r="D127" s="2" t="s">
        <v>214</v>
      </c>
      <c r="E127" s="2" t="s">
        <v>340</v>
      </c>
      <c r="F127" s="2">
        <v>0</v>
      </c>
      <c r="G127" s="2">
        <v>10</v>
      </c>
      <c r="H127" s="2">
        <v>16300</v>
      </c>
      <c r="I127" s="2">
        <v>-2400</v>
      </c>
      <c r="J127">
        <v>30</v>
      </c>
      <c r="K127" t="str">
        <f t="shared" si="5"/>
        <v>Overstock</v>
      </c>
      <c r="L127">
        <f t="shared" si="4"/>
        <v>0</v>
      </c>
    </row>
    <row r="128" spans="1:12" x14ac:dyDescent="0.3">
      <c r="A128" s="2" t="s">
        <v>140</v>
      </c>
      <c r="B128" s="2" t="s">
        <v>11</v>
      </c>
      <c r="C128" s="2" t="s">
        <v>12</v>
      </c>
      <c r="D128" s="2" t="s">
        <v>213</v>
      </c>
      <c r="E128" s="2" t="s">
        <v>341</v>
      </c>
      <c r="F128" s="2">
        <v>0</v>
      </c>
      <c r="G128" s="2">
        <v>10</v>
      </c>
      <c r="H128" s="2">
        <v>16430</v>
      </c>
      <c r="I128" s="2">
        <v>-2420</v>
      </c>
      <c r="J128">
        <v>30</v>
      </c>
      <c r="K128" t="str">
        <f t="shared" si="5"/>
        <v>Overstock</v>
      </c>
      <c r="L128">
        <f t="shared" si="4"/>
        <v>0</v>
      </c>
    </row>
    <row r="129" spans="1:12" x14ac:dyDescent="0.3">
      <c r="A129" s="2" t="s">
        <v>141</v>
      </c>
      <c r="B129" s="2" t="s">
        <v>14</v>
      </c>
      <c r="C129" s="2" t="s">
        <v>15</v>
      </c>
      <c r="D129" s="2" t="s">
        <v>214</v>
      </c>
      <c r="E129" s="2" t="s">
        <v>342</v>
      </c>
      <c r="F129" s="2">
        <v>0</v>
      </c>
      <c r="G129" s="2">
        <v>10</v>
      </c>
      <c r="H129" s="2">
        <v>16560</v>
      </c>
      <c r="I129" s="2">
        <v>-2440</v>
      </c>
      <c r="J129">
        <v>30</v>
      </c>
      <c r="K129" t="str">
        <f t="shared" si="5"/>
        <v>Overstock</v>
      </c>
      <c r="L129">
        <f t="shared" si="4"/>
        <v>0</v>
      </c>
    </row>
    <row r="130" spans="1:12" x14ac:dyDescent="0.3">
      <c r="A130" s="2" t="s">
        <v>142</v>
      </c>
      <c r="B130" s="2" t="s">
        <v>11</v>
      </c>
      <c r="C130" s="2" t="s">
        <v>12</v>
      </c>
      <c r="D130" s="2" t="s">
        <v>213</v>
      </c>
      <c r="E130" s="2" t="s">
        <v>343</v>
      </c>
      <c r="F130" s="2">
        <v>0</v>
      </c>
      <c r="G130" s="2">
        <v>10</v>
      </c>
      <c r="H130" s="2">
        <v>16690</v>
      </c>
      <c r="I130" s="2">
        <v>-2460</v>
      </c>
      <c r="J130">
        <v>30</v>
      </c>
      <c r="K130" t="str">
        <f t="shared" ref="K130:K161" si="6">IF(H130&lt;I130,"Understock",
 IF(H130&gt;I130*2,"Overstock","Optimal"))</f>
        <v>Overstock</v>
      </c>
      <c r="L130">
        <f t="shared" si="4"/>
        <v>0</v>
      </c>
    </row>
    <row r="131" spans="1:12" x14ac:dyDescent="0.3">
      <c r="A131" s="2" t="s">
        <v>143</v>
      </c>
      <c r="B131" s="2" t="s">
        <v>14</v>
      </c>
      <c r="C131" s="2" t="s">
        <v>15</v>
      </c>
      <c r="D131" s="2" t="s">
        <v>214</v>
      </c>
      <c r="E131" s="2" t="s">
        <v>344</v>
      </c>
      <c r="F131" s="2">
        <v>0</v>
      </c>
      <c r="G131" s="2">
        <v>10</v>
      </c>
      <c r="H131" s="2">
        <v>16820</v>
      </c>
      <c r="I131" s="2">
        <v>-2480</v>
      </c>
      <c r="J131">
        <v>30</v>
      </c>
      <c r="K131" t="str">
        <f t="shared" si="6"/>
        <v>Overstock</v>
      </c>
      <c r="L131">
        <f t="shared" ref="L131:L194" si="7">IFERROR(G131/F131,0)</f>
        <v>0</v>
      </c>
    </row>
    <row r="132" spans="1:12" x14ac:dyDescent="0.3">
      <c r="A132" s="2" t="s">
        <v>144</v>
      </c>
      <c r="B132" s="2" t="s">
        <v>11</v>
      </c>
      <c r="C132" s="2" t="s">
        <v>12</v>
      </c>
      <c r="D132" s="2" t="s">
        <v>213</v>
      </c>
      <c r="E132" s="2" t="s">
        <v>345</v>
      </c>
      <c r="F132" s="2">
        <v>0</v>
      </c>
      <c r="G132" s="2">
        <v>10</v>
      </c>
      <c r="H132" s="2">
        <v>16950</v>
      </c>
      <c r="I132" s="2">
        <v>-2500</v>
      </c>
      <c r="J132">
        <v>30</v>
      </c>
      <c r="K132" t="str">
        <f t="shared" si="6"/>
        <v>Overstock</v>
      </c>
      <c r="L132">
        <f t="shared" si="7"/>
        <v>0</v>
      </c>
    </row>
    <row r="133" spans="1:12" x14ac:dyDescent="0.3">
      <c r="A133" s="2" t="s">
        <v>145</v>
      </c>
      <c r="B133" s="2" t="s">
        <v>14</v>
      </c>
      <c r="C133" s="2" t="s">
        <v>15</v>
      </c>
      <c r="D133" s="2" t="s">
        <v>214</v>
      </c>
      <c r="E133" s="2" t="s">
        <v>346</v>
      </c>
      <c r="F133" s="2">
        <v>0</v>
      </c>
      <c r="G133" s="2">
        <v>10</v>
      </c>
      <c r="H133" s="2">
        <v>17080</v>
      </c>
      <c r="I133" s="2">
        <v>-2520</v>
      </c>
      <c r="J133">
        <v>30</v>
      </c>
      <c r="K133" t="str">
        <f t="shared" si="6"/>
        <v>Overstock</v>
      </c>
      <c r="L133">
        <f t="shared" si="7"/>
        <v>0</v>
      </c>
    </row>
    <row r="134" spans="1:12" x14ac:dyDescent="0.3">
      <c r="A134" s="2" t="s">
        <v>146</v>
      </c>
      <c r="B134" s="2" t="s">
        <v>11</v>
      </c>
      <c r="C134" s="2" t="s">
        <v>12</v>
      </c>
      <c r="D134" s="2" t="s">
        <v>213</v>
      </c>
      <c r="E134" s="2" t="s">
        <v>347</v>
      </c>
      <c r="F134" s="2">
        <v>0</v>
      </c>
      <c r="G134" s="2">
        <v>10</v>
      </c>
      <c r="H134" s="2">
        <v>17210</v>
      </c>
      <c r="I134" s="2">
        <v>-2540</v>
      </c>
      <c r="J134">
        <v>30</v>
      </c>
      <c r="K134" t="str">
        <f t="shared" si="6"/>
        <v>Overstock</v>
      </c>
      <c r="L134">
        <f t="shared" si="7"/>
        <v>0</v>
      </c>
    </row>
    <row r="135" spans="1:12" x14ac:dyDescent="0.3">
      <c r="A135" s="2" t="s">
        <v>147</v>
      </c>
      <c r="B135" s="2" t="s">
        <v>14</v>
      </c>
      <c r="C135" s="2" t="s">
        <v>15</v>
      </c>
      <c r="D135" s="2" t="s">
        <v>214</v>
      </c>
      <c r="E135" s="2" t="s">
        <v>348</v>
      </c>
      <c r="F135" s="2">
        <v>0</v>
      </c>
      <c r="G135" s="2">
        <v>10</v>
      </c>
      <c r="H135" s="2">
        <v>17340</v>
      </c>
      <c r="I135" s="2">
        <v>-2560</v>
      </c>
      <c r="J135">
        <v>30</v>
      </c>
      <c r="K135" t="str">
        <f t="shared" si="6"/>
        <v>Overstock</v>
      </c>
      <c r="L135">
        <f t="shared" si="7"/>
        <v>0</v>
      </c>
    </row>
    <row r="136" spans="1:12" x14ac:dyDescent="0.3">
      <c r="A136" s="2" t="s">
        <v>148</v>
      </c>
      <c r="B136" s="2" t="s">
        <v>11</v>
      </c>
      <c r="C136" s="2" t="s">
        <v>12</v>
      </c>
      <c r="D136" s="2" t="s">
        <v>213</v>
      </c>
      <c r="E136" s="2" t="s">
        <v>349</v>
      </c>
      <c r="F136" s="2">
        <v>0</v>
      </c>
      <c r="G136" s="2">
        <v>10</v>
      </c>
      <c r="H136" s="2">
        <v>17470</v>
      </c>
      <c r="I136" s="2">
        <v>-2580</v>
      </c>
      <c r="J136">
        <v>30</v>
      </c>
      <c r="K136" t="str">
        <f t="shared" si="6"/>
        <v>Overstock</v>
      </c>
      <c r="L136">
        <f t="shared" si="7"/>
        <v>0</v>
      </c>
    </row>
    <row r="137" spans="1:12" x14ac:dyDescent="0.3">
      <c r="A137" s="2" t="s">
        <v>149</v>
      </c>
      <c r="B137" s="2" t="s">
        <v>14</v>
      </c>
      <c r="C137" s="2" t="s">
        <v>15</v>
      </c>
      <c r="D137" s="2" t="s">
        <v>214</v>
      </c>
      <c r="E137" s="2" t="s">
        <v>350</v>
      </c>
      <c r="F137" s="2">
        <v>0</v>
      </c>
      <c r="G137" s="2">
        <v>10</v>
      </c>
      <c r="H137" s="2">
        <v>17600</v>
      </c>
      <c r="I137" s="2">
        <v>-2600</v>
      </c>
      <c r="J137">
        <v>30</v>
      </c>
      <c r="K137" t="str">
        <f t="shared" si="6"/>
        <v>Overstock</v>
      </c>
      <c r="L137">
        <f t="shared" si="7"/>
        <v>0</v>
      </c>
    </row>
    <row r="138" spans="1:12" x14ac:dyDescent="0.3">
      <c r="A138" s="2" t="s">
        <v>150</v>
      </c>
      <c r="B138" s="2" t="s">
        <v>11</v>
      </c>
      <c r="C138" s="2" t="s">
        <v>12</v>
      </c>
      <c r="D138" s="2" t="s">
        <v>213</v>
      </c>
      <c r="E138" s="2" t="s">
        <v>351</v>
      </c>
      <c r="F138" s="2">
        <v>0</v>
      </c>
      <c r="G138" s="2">
        <v>10</v>
      </c>
      <c r="H138" s="2">
        <v>17730</v>
      </c>
      <c r="I138" s="2">
        <v>-2620</v>
      </c>
      <c r="J138">
        <v>30</v>
      </c>
      <c r="K138" t="str">
        <f t="shared" si="6"/>
        <v>Overstock</v>
      </c>
      <c r="L138">
        <f t="shared" si="7"/>
        <v>0</v>
      </c>
    </row>
    <row r="139" spans="1:12" x14ac:dyDescent="0.3">
      <c r="A139" s="2" t="s">
        <v>151</v>
      </c>
      <c r="B139" s="2" t="s">
        <v>14</v>
      </c>
      <c r="C139" s="2" t="s">
        <v>15</v>
      </c>
      <c r="D139" s="2" t="s">
        <v>214</v>
      </c>
      <c r="E139" s="2" t="s">
        <v>352</v>
      </c>
      <c r="F139" s="2">
        <v>0</v>
      </c>
      <c r="G139" s="2">
        <v>10</v>
      </c>
      <c r="H139" s="2">
        <v>17860</v>
      </c>
      <c r="I139" s="2">
        <v>-2640</v>
      </c>
      <c r="J139">
        <v>30</v>
      </c>
      <c r="K139" t="str">
        <f t="shared" si="6"/>
        <v>Overstock</v>
      </c>
      <c r="L139">
        <f t="shared" si="7"/>
        <v>0</v>
      </c>
    </row>
    <row r="140" spans="1:12" x14ac:dyDescent="0.3">
      <c r="A140" s="2" t="s">
        <v>152</v>
      </c>
      <c r="B140" s="2" t="s">
        <v>11</v>
      </c>
      <c r="C140" s="2" t="s">
        <v>12</v>
      </c>
      <c r="D140" s="2" t="s">
        <v>213</v>
      </c>
      <c r="E140" s="2" t="s">
        <v>353</v>
      </c>
      <c r="F140" s="2">
        <v>0</v>
      </c>
      <c r="G140" s="2">
        <v>10</v>
      </c>
      <c r="H140" s="2">
        <v>17990</v>
      </c>
      <c r="I140" s="2">
        <v>-2660</v>
      </c>
      <c r="J140">
        <v>30</v>
      </c>
      <c r="K140" t="str">
        <f t="shared" si="6"/>
        <v>Overstock</v>
      </c>
      <c r="L140">
        <f t="shared" si="7"/>
        <v>0</v>
      </c>
    </row>
    <row r="141" spans="1:12" x14ac:dyDescent="0.3">
      <c r="A141" s="2" t="s">
        <v>153</v>
      </c>
      <c r="B141" s="2" t="s">
        <v>14</v>
      </c>
      <c r="C141" s="2" t="s">
        <v>15</v>
      </c>
      <c r="D141" s="2" t="s">
        <v>214</v>
      </c>
      <c r="E141" s="2" t="s">
        <v>354</v>
      </c>
      <c r="F141" s="2">
        <v>0</v>
      </c>
      <c r="G141" s="2">
        <v>10</v>
      </c>
      <c r="H141" s="2">
        <v>18120</v>
      </c>
      <c r="I141" s="2">
        <v>-2680</v>
      </c>
      <c r="J141">
        <v>30</v>
      </c>
      <c r="K141" t="str">
        <f t="shared" si="6"/>
        <v>Overstock</v>
      </c>
      <c r="L141">
        <f t="shared" si="7"/>
        <v>0</v>
      </c>
    </row>
    <row r="142" spans="1:12" x14ac:dyDescent="0.3">
      <c r="A142" s="2" t="s">
        <v>154</v>
      </c>
      <c r="B142" s="2" t="s">
        <v>11</v>
      </c>
      <c r="C142" s="2" t="s">
        <v>12</v>
      </c>
      <c r="D142" s="2" t="s">
        <v>213</v>
      </c>
      <c r="E142" s="2" t="s">
        <v>355</v>
      </c>
      <c r="F142" s="2">
        <v>0</v>
      </c>
      <c r="G142" s="2">
        <v>10</v>
      </c>
      <c r="H142" s="2">
        <v>18250</v>
      </c>
      <c r="I142" s="2">
        <v>-2700</v>
      </c>
      <c r="J142">
        <v>30</v>
      </c>
      <c r="K142" t="str">
        <f t="shared" si="6"/>
        <v>Overstock</v>
      </c>
      <c r="L142">
        <f t="shared" si="7"/>
        <v>0</v>
      </c>
    </row>
    <row r="143" spans="1:12" x14ac:dyDescent="0.3">
      <c r="A143" s="2" t="s">
        <v>155</v>
      </c>
      <c r="B143" s="2" t="s">
        <v>14</v>
      </c>
      <c r="C143" s="2" t="s">
        <v>15</v>
      </c>
      <c r="D143" s="2" t="s">
        <v>214</v>
      </c>
      <c r="E143" s="2" t="s">
        <v>356</v>
      </c>
      <c r="F143" s="2">
        <v>0</v>
      </c>
      <c r="G143" s="2">
        <v>10</v>
      </c>
      <c r="H143" s="2">
        <v>18380</v>
      </c>
      <c r="I143" s="2">
        <v>-2720</v>
      </c>
      <c r="J143">
        <v>30</v>
      </c>
      <c r="K143" t="str">
        <f t="shared" si="6"/>
        <v>Overstock</v>
      </c>
      <c r="L143">
        <f t="shared" si="7"/>
        <v>0</v>
      </c>
    </row>
    <row r="144" spans="1:12" x14ac:dyDescent="0.3">
      <c r="A144" s="2" t="s">
        <v>156</v>
      </c>
      <c r="B144" s="2" t="s">
        <v>11</v>
      </c>
      <c r="C144" s="2" t="s">
        <v>12</v>
      </c>
      <c r="D144" s="2" t="s">
        <v>213</v>
      </c>
      <c r="E144" s="2" t="s">
        <v>357</v>
      </c>
      <c r="F144" s="2">
        <v>0</v>
      </c>
      <c r="G144" s="2">
        <v>10</v>
      </c>
      <c r="H144" s="2">
        <v>18510</v>
      </c>
      <c r="I144" s="2">
        <v>-2740</v>
      </c>
      <c r="J144">
        <v>30</v>
      </c>
      <c r="K144" t="str">
        <f t="shared" si="6"/>
        <v>Overstock</v>
      </c>
      <c r="L144">
        <f t="shared" si="7"/>
        <v>0</v>
      </c>
    </row>
    <row r="145" spans="1:12" x14ac:dyDescent="0.3">
      <c r="A145" s="2" t="s">
        <v>157</v>
      </c>
      <c r="B145" s="2" t="s">
        <v>14</v>
      </c>
      <c r="C145" s="2" t="s">
        <v>15</v>
      </c>
      <c r="D145" s="2" t="s">
        <v>214</v>
      </c>
      <c r="E145" s="2" t="s">
        <v>358</v>
      </c>
      <c r="F145" s="2">
        <v>0</v>
      </c>
      <c r="G145" s="2">
        <v>10</v>
      </c>
      <c r="H145" s="2">
        <v>18640</v>
      </c>
      <c r="I145" s="2">
        <v>-2760</v>
      </c>
      <c r="J145">
        <v>30</v>
      </c>
      <c r="K145" t="str">
        <f t="shared" si="6"/>
        <v>Overstock</v>
      </c>
      <c r="L145">
        <f t="shared" si="7"/>
        <v>0</v>
      </c>
    </row>
    <row r="146" spans="1:12" x14ac:dyDescent="0.3">
      <c r="A146" s="2" t="s">
        <v>158</v>
      </c>
      <c r="B146" s="2" t="s">
        <v>11</v>
      </c>
      <c r="C146" s="2" t="s">
        <v>12</v>
      </c>
      <c r="D146" s="2" t="s">
        <v>213</v>
      </c>
      <c r="E146" s="2" t="s">
        <v>359</v>
      </c>
      <c r="F146" s="2">
        <v>0</v>
      </c>
      <c r="G146" s="2">
        <v>10</v>
      </c>
      <c r="H146" s="2">
        <v>18770</v>
      </c>
      <c r="I146" s="2">
        <v>-2780</v>
      </c>
      <c r="J146">
        <v>30</v>
      </c>
      <c r="K146" t="str">
        <f t="shared" si="6"/>
        <v>Overstock</v>
      </c>
      <c r="L146">
        <f t="shared" si="7"/>
        <v>0</v>
      </c>
    </row>
    <row r="147" spans="1:12" x14ac:dyDescent="0.3">
      <c r="A147" s="2" t="s">
        <v>159</v>
      </c>
      <c r="B147" s="2" t="s">
        <v>14</v>
      </c>
      <c r="C147" s="2" t="s">
        <v>15</v>
      </c>
      <c r="D147" s="2" t="s">
        <v>214</v>
      </c>
      <c r="E147" s="2" t="s">
        <v>360</v>
      </c>
      <c r="F147" s="2">
        <v>0</v>
      </c>
      <c r="G147" s="2">
        <v>10</v>
      </c>
      <c r="H147" s="2">
        <v>18900</v>
      </c>
      <c r="I147" s="2">
        <v>-2800</v>
      </c>
      <c r="J147">
        <v>30</v>
      </c>
      <c r="K147" t="str">
        <f t="shared" si="6"/>
        <v>Overstock</v>
      </c>
      <c r="L147">
        <f t="shared" si="7"/>
        <v>0</v>
      </c>
    </row>
    <row r="148" spans="1:12" x14ac:dyDescent="0.3">
      <c r="A148" s="2" t="s">
        <v>160</v>
      </c>
      <c r="B148" s="2" t="s">
        <v>11</v>
      </c>
      <c r="C148" s="2" t="s">
        <v>12</v>
      </c>
      <c r="D148" s="2" t="s">
        <v>213</v>
      </c>
      <c r="E148" s="2" t="s">
        <v>361</v>
      </c>
      <c r="F148" s="2">
        <v>0</v>
      </c>
      <c r="G148" s="2">
        <v>10</v>
      </c>
      <c r="H148" s="2">
        <v>19030</v>
      </c>
      <c r="I148" s="2">
        <v>-2820</v>
      </c>
      <c r="J148">
        <v>30</v>
      </c>
      <c r="K148" t="str">
        <f t="shared" si="6"/>
        <v>Overstock</v>
      </c>
      <c r="L148">
        <f t="shared" si="7"/>
        <v>0</v>
      </c>
    </row>
    <row r="149" spans="1:12" x14ac:dyDescent="0.3">
      <c r="A149" s="2" t="s">
        <v>161</v>
      </c>
      <c r="B149" s="2" t="s">
        <v>14</v>
      </c>
      <c r="C149" s="2" t="s">
        <v>15</v>
      </c>
      <c r="D149" s="2" t="s">
        <v>214</v>
      </c>
      <c r="E149" s="2" t="s">
        <v>362</v>
      </c>
      <c r="F149" s="2">
        <v>0</v>
      </c>
      <c r="G149" s="2">
        <v>10</v>
      </c>
      <c r="H149" s="2">
        <v>19160</v>
      </c>
      <c r="I149" s="2">
        <v>-2840</v>
      </c>
      <c r="J149">
        <v>30</v>
      </c>
      <c r="K149" t="str">
        <f t="shared" si="6"/>
        <v>Overstock</v>
      </c>
      <c r="L149">
        <f t="shared" si="7"/>
        <v>0</v>
      </c>
    </row>
    <row r="150" spans="1:12" x14ac:dyDescent="0.3">
      <c r="A150" s="2" t="s">
        <v>162</v>
      </c>
      <c r="B150" s="2" t="s">
        <v>11</v>
      </c>
      <c r="C150" s="2" t="s">
        <v>12</v>
      </c>
      <c r="D150" s="2" t="s">
        <v>213</v>
      </c>
      <c r="E150" s="2" t="s">
        <v>363</v>
      </c>
      <c r="F150" s="2">
        <v>0</v>
      </c>
      <c r="G150" s="2">
        <v>10</v>
      </c>
      <c r="H150" s="2">
        <v>19290</v>
      </c>
      <c r="I150" s="2">
        <v>-2860</v>
      </c>
      <c r="J150">
        <v>30</v>
      </c>
      <c r="K150" t="str">
        <f t="shared" si="6"/>
        <v>Overstock</v>
      </c>
      <c r="L150">
        <f t="shared" si="7"/>
        <v>0</v>
      </c>
    </row>
    <row r="151" spans="1:12" x14ac:dyDescent="0.3">
      <c r="A151" s="2" t="s">
        <v>163</v>
      </c>
      <c r="B151" s="2" t="s">
        <v>14</v>
      </c>
      <c r="C151" s="2" t="s">
        <v>15</v>
      </c>
      <c r="D151" s="2" t="s">
        <v>214</v>
      </c>
      <c r="E151" s="2" t="s">
        <v>364</v>
      </c>
      <c r="F151" s="2">
        <v>0</v>
      </c>
      <c r="G151" s="2">
        <v>10</v>
      </c>
      <c r="H151" s="2">
        <v>19420</v>
      </c>
      <c r="I151" s="2">
        <v>-2880</v>
      </c>
      <c r="J151">
        <v>30</v>
      </c>
      <c r="K151" t="str">
        <f t="shared" si="6"/>
        <v>Overstock</v>
      </c>
      <c r="L151">
        <f t="shared" si="7"/>
        <v>0</v>
      </c>
    </row>
    <row r="152" spans="1:12" x14ac:dyDescent="0.3">
      <c r="A152" s="2" t="s">
        <v>164</v>
      </c>
      <c r="B152" s="2" t="s">
        <v>11</v>
      </c>
      <c r="C152" s="2" t="s">
        <v>12</v>
      </c>
      <c r="D152" s="2" t="s">
        <v>213</v>
      </c>
      <c r="E152" s="2" t="s">
        <v>365</v>
      </c>
      <c r="F152" s="2">
        <v>0</v>
      </c>
      <c r="G152" s="2">
        <v>10</v>
      </c>
      <c r="H152" s="2">
        <v>19550</v>
      </c>
      <c r="I152" s="2">
        <v>-2900</v>
      </c>
      <c r="J152">
        <v>30</v>
      </c>
      <c r="K152" t="str">
        <f t="shared" si="6"/>
        <v>Overstock</v>
      </c>
      <c r="L152">
        <f t="shared" si="7"/>
        <v>0</v>
      </c>
    </row>
    <row r="153" spans="1:12" x14ac:dyDescent="0.3">
      <c r="A153" s="2" t="s">
        <v>165</v>
      </c>
      <c r="B153" s="2" t="s">
        <v>14</v>
      </c>
      <c r="C153" s="2" t="s">
        <v>15</v>
      </c>
      <c r="D153" s="2" t="s">
        <v>214</v>
      </c>
      <c r="E153" s="2" t="s">
        <v>366</v>
      </c>
      <c r="F153" s="2">
        <v>0</v>
      </c>
      <c r="G153" s="2">
        <v>10</v>
      </c>
      <c r="H153" s="2">
        <v>19680</v>
      </c>
      <c r="I153" s="2">
        <v>-2920</v>
      </c>
      <c r="J153">
        <v>30</v>
      </c>
      <c r="K153" t="str">
        <f t="shared" si="6"/>
        <v>Overstock</v>
      </c>
      <c r="L153">
        <f t="shared" si="7"/>
        <v>0</v>
      </c>
    </row>
    <row r="154" spans="1:12" x14ac:dyDescent="0.3">
      <c r="A154" s="2" t="s">
        <v>166</v>
      </c>
      <c r="B154" s="2" t="s">
        <v>11</v>
      </c>
      <c r="C154" s="2" t="s">
        <v>12</v>
      </c>
      <c r="D154" s="2" t="s">
        <v>213</v>
      </c>
      <c r="E154" s="2" t="s">
        <v>367</v>
      </c>
      <c r="F154" s="2">
        <v>0</v>
      </c>
      <c r="G154" s="2">
        <v>10</v>
      </c>
      <c r="H154" s="2">
        <v>19810</v>
      </c>
      <c r="I154" s="2">
        <v>-2940</v>
      </c>
      <c r="J154">
        <v>30</v>
      </c>
      <c r="K154" t="str">
        <f t="shared" si="6"/>
        <v>Overstock</v>
      </c>
      <c r="L154">
        <f t="shared" si="7"/>
        <v>0</v>
      </c>
    </row>
    <row r="155" spans="1:12" x14ac:dyDescent="0.3">
      <c r="A155" s="2" t="s">
        <v>167</v>
      </c>
      <c r="B155" s="2" t="s">
        <v>14</v>
      </c>
      <c r="C155" s="2" t="s">
        <v>15</v>
      </c>
      <c r="D155" s="2" t="s">
        <v>214</v>
      </c>
      <c r="E155" s="2" t="s">
        <v>368</v>
      </c>
      <c r="F155" s="2">
        <v>0</v>
      </c>
      <c r="G155" s="2">
        <v>10</v>
      </c>
      <c r="H155" s="2">
        <v>19940</v>
      </c>
      <c r="I155" s="2">
        <v>-2960</v>
      </c>
      <c r="J155">
        <v>30</v>
      </c>
      <c r="K155" t="str">
        <f t="shared" si="6"/>
        <v>Overstock</v>
      </c>
      <c r="L155">
        <f t="shared" si="7"/>
        <v>0</v>
      </c>
    </row>
    <row r="156" spans="1:12" x14ac:dyDescent="0.3">
      <c r="A156" s="2" t="s">
        <v>168</v>
      </c>
      <c r="B156" s="2" t="s">
        <v>11</v>
      </c>
      <c r="C156" s="2" t="s">
        <v>12</v>
      </c>
      <c r="D156" s="2" t="s">
        <v>213</v>
      </c>
      <c r="E156" s="2" t="s">
        <v>369</v>
      </c>
      <c r="F156" s="2">
        <v>0</v>
      </c>
      <c r="G156" s="2">
        <v>10</v>
      </c>
      <c r="H156" s="2">
        <v>20070</v>
      </c>
      <c r="I156" s="2">
        <v>-2980</v>
      </c>
      <c r="J156">
        <v>30</v>
      </c>
      <c r="K156" t="str">
        <f t="shared" si="6"/>
        <v>Overstock</v>
      </c>
      <c r="L156">
        <f t="shared" si="7"/>
        <v>0</v>
      </c>
    </row>
    <row r="157" spans="1:12" x14ac:dyDescent="0.3">
      <c r="A157" s="2" t="s">
        <v>169</v>
      </c>
      <c r="B157" s="2" t="s">
        <v>14</v>
      </c>
      <c r="C157" s="2" t="s">
        <v>15</v>
      </c>
      <c r="D157" s="2" t="s">
        <v>214</v>
      </c>
      <c r="E157" s="2" t="s">
        <v>370</v>
      </c>
      <c r="F157" s="2">
        <v>0</v>
      </c>
      <c r="G157" s="2">
        <v>10</v>
      </c>
      <c r="H157" s="2">
        <v>20200</v>
      </c>
      <c r="I157" s="2">
        <v>-3000</v>
      </c>
      <c r="J157">
        <v>30</v>
      </c>
      <c r="K157" t="str">
        <f t="shared" si="6"/>
        <v>Overstock</v>
      </c>
      <c r="L157">
        <f t="shared" si="7"/>
        <v>0</v>
      </c>
    </row>
    <row r="158" spans="1:12" x14ac:dyDescent="0.3">
      <c r="A158" s="2" t="s">
        <v>170</v>
      </c>
      <c r="B158" s="2" t="s">
        <v>11</v>
      </c>
      <c r="C158" s="2" t="s">
        <v>12</v>
      </c>
      <c r="D158" s="2" t="s">
        <v>213</v>
      </c>
      <c r="E158" s="2" t="s">
        <v>371</v>
      </c>
      <c r="F158" s="2">
        <v>0</v>
      </c>
      <c r="G158" s="2">
        <v>10</v>
      </c>
      <c r="H158" s="2">
        <v>20330</v>
      </c>
      <c r="I158" s="2">
        <v>-3020</v>
      </c>
      <c r="J158">
        <v>30</v>
      </c>
      <c r="K158" t="str">
        <f t="shared" si="6"/>
        <v>Overstock</v>
      </c>
      <c r="L158">
        <f t="shared" si="7"/>
        <v>0</v>
      </c>
    </row>
    <row r="159" spans="1:12" x14ac:dyDescent="0.3">
      <c r="A159" s="2" t="s">
        <v>171</v>
      </c>
      <c r="B159" s="2" t="s">
        <v>14</v>
      </c>
      <c r="C159" s="2" t="s">
        <v>15</v>
      </c>
      <c r="D159" s="2" t="s">
        <v>214</v>
      </c>
      <c r="E159" s="2" t="s">
        <v>372</v>
      </c>
      <c r="F159" s="2">
        <v>0</v>
      </c>
      <c r="G159" s="2">
        <v>10</v>
      </c>
      <c r="H159" s="2">
        <v>20460</v>
      </c>
      <c r="I159" s="2">
        <v>-3040</v>
      </c>
      <c r="J159">
        <v>30</v>
      </c>
      <c r="K159" t="str">
        <f t="shared" si="6"/>
        <v>Overstock</v>
      </c>
      <c r="L159">
        <f t="shared" si="7"/>
        <v>0</v>
      </c>
    </row>
    <row r="160" spans="1:12" x14ac:dyDescent="0.3">
      <c r="A160" s="2" t="s">
        <v>172</v>
      </c>
      <c r="B160" s="2" t="s">
        <v>11</v>
      </c>
      <c r="C160" s="2" t="s">
        <v>12</v>
      </c>
      <c r="D160" s="2" t="s">
        <v>213</v>
      </c>
      <c r="E160" s="2" t="s">
        <v>373</v>
      </c>
      <c r="F160" s="2">
        <v>0</v>
      </c>
      <c r="G160" s="2">
        <v>10</v>
      </c>
      <c r="H160" s="2">
        <v>20590</v>
      </c>
      <c r="I160" s="2">
        <v>-3060</v>
      </c>
      <c r="J160">
        <v>30</v>
      </c>
      <c r="K160" t="str">
        <f t="shared" si="6"/>
        <v>Overstock</v>
      </c>
      <c r="L160">
        <f t="shared" si="7"/>
        <v>0</v>
      </c>
    </row>
    <row r="161" spans="1:12" x14ac:dyDescent="0.3">
      <c r="A161" s="2" t="s">
        <v>173</v>
      </c>
      <c r="B161" s="2" t="s">
        <v>14</v>
      </c>
      <c r="C161" s="2" t="s">
        <v>15</v>
      </c>
      <c r="D161" s="2" t="s">
        <v>214</v>
      </c>
      <c r="E161" s="2" t="s">
        <v>374</v>
      </c>
      <c r="F161" s="2">
        <v>0</v>
      </c>
      <c r="G161" s="2">
        <v>10</v>
      </c>
      <c r="H161" s="2">
        <v>20720</v>
      </c>
      <c r="I161" s="2">
        <v>-3080</v>
      </c>
      <c r="J161">
        <v>30</v>
      </c>
      <c r="K161" t="str">
        <f t="shared" si="6"/>
        <v>Overstock</v>
      </c>
      <c r="L161">
        <f t="shared" si="7"/>
        <v>0</v>
      </c>
    </row>
    <row r="162" spans="1:12" x14ac:dyDescent="0.3">
      <c r="A162" s="2" t="s">
        <v>174</v>
      </c>
      <c r="B162" s="2" t="s">
        <v>11</v>
      </c>
      <c r="C162" s="2" t="s">
        <v>12</v>
      </c>
      <c r="D162" s="2" t="s">
        <v>213</v>
      </c>
      <c r="E162" s="2" t="s">
        <v>375</v>
      </c>
      <c r="F162" s="2">
        <v>0</v>
      </c>
      <c r="G162" s="2">
        <v>10</v>
      </c>
      <c r="H162" s="2">
        <v>20850</v>
      </c>
      <c r="I162" s="2">
        <v>-3100</v>
      </c>
      <c r="J162">
        <v>30</v>
      </c>
      <c r="K162" t="str">
        <f t="shared" ref="K162:K193" si="8">IF(H162&lt;I162,"Understock",
 IF(H162&gt;I162*2,"Overstock","Optimal"))</f>
        <v>Overstock</v>
      </c>
      <c r="L162">
        <f t="shared" si="7"/>
        <v>0</v>
      </c>
    </row>
    <row r="163" spans="1:12" x14ac:dyDescent="0.3">
      <c r="A163" s="2" t="s">
        <v>175</v>
      </c>
      <c r="B163" s="2" t="s">
        <v>14</v>
      </c>
      <c r="C163" s="2" t="s">
        <v>15</v>
      </c>
      <c r="D163" s="2" t="s">
        <v>214</v>
      </c>
      <c r="E163" s="2" t="s">
        <v>376</v>
      </c>
      <c r="F163" s="2">
        <v>0</v>
      </c>
      <c r="G163" s="2">
        <v>10</v>
      </c>
      <c r="H163" s="2">
        <v>20980</v>
      </c>
      <c r="I163" s="2">
        <v>-3120</v>
      </c>
      <c r="J163">
        <v>30</v>
      </c>
      <c r="K163" t="str">
        <f t="shared" si="8"/>
        <v>Overstock</v>
      </c>
      <c r="L163">
        <f t="shared" si="7"/>
        <v>0</v>
      </c>
    </row>
    <row r="164" spans="1:12" x14ac:dyDescent="0.3">
      <c r="A164" s="2" t="s">
        <v>176</v>
      </c>
      <c r="B164" s="2" t="s">
        <v>11</v>
      </c>
      <c r="C164" s="2" t="s">
        <v>12</v>
      </c>
      <c r="D164" s="2" t="s">
        <v>213</v>
      </c>
      <c r="E164" s="2" t="s">
        <v>377</v>
      </c>
      <c r="F164" s="2">
        <v>0</v>
      </c>
      <c r="G164" s="2">
        <v>10</v>
      </c>
      <c r="H164" s="2">
        <v>21110</v>
      </c>
      <c r="I164" s="2">
        <v>-3140</v>
      </c>
      <c r="J164">
        <v>30</v>
      </c>
      <c r="K164" t="str">
        <f t="shared" si="8"/>
        <v>Overstock</v>
      </c>
      <c r="L164">
        <f t="shared" si="7"/>
        <v>0</v>
      </c>
    </row>
    <row r="165" spans="1:12" x14ac:dyDescent="0.3">
      <c r="A165" s="2" t="s">
        <v>177</v>
      </c>
      <c r="B165" s="2" t="s">
        <v>14</v>
      </c>
      <c r="C165" s="2" t="s">
        <v>15</v>
      </c>
      <c r="D165" s="2" t="s">
        <v>214</v>
      </c>
      <c r="E165" s="2" t="s">
        <v>378</v>
      </c>
      <c r="F165" s="2">
        <v>0</v>
      </c>
      <c r="G165" s="2">
        <v>10</v>
      </c>
      <c r="H165" s="2">
        <v>21240</v>
      </c>
      <c r="I165" s="2">
        <v>-3160</v>
      </c>
      <c r="J165">
        <v>30</v>
      </c>
      <c r="K165" t="str">
        <f t="shared" si="8"/>
        <v>Overstock</v>
      </c>
      <c r="L165">
        <f t="shared" si="7"/>
        <v>0</v>
      </c>
    </row>
    <row r="166" spans="1:12" x14ac:dyDescent="0.3">
      <c r="A166" s="2" t="s">
        <v>178</v>
      </c>
      <c r="B166" s="2" t="s">
        <v>11</v>
      </c>
      <c r="C166" s="2" t="s">
        <v>12</v>
      </c>
      <c r="D166" s="2" t="s">
        <v>213</v>
      </c>
      <c r="E166" s="2" t="s">
        <v>379</v>
      </c>
      <c r="F166" s="2">
        <v>0</v>
      </c>
      <c r="G166" s="2">
        <v>10</v>
      </c>
      <c r="H166" s="2">
        <v>21370</v>
      </c>
      <c r="I166" s="2">
        <v>-3180</v>
      </c>
      <c r="J166">
        <v>30</v>
      </c>
      <c r="K166" t="str">
        <f t="shared" si="8"/>
        <v>Overstock</v>
      </c>
      <c r="L166">
        <f t="shared" si="7"/>
        <v>0</v>
      </c>
    </row>
    <row r="167" spans="1:12" x14ac:dyDescent="0.3">
      <c r="A167" s="2" t="s">
        <v>179</v>
      </c>
      <c r="B167" s="2" t="s">
        <v>14</v>
      </c>
      <c r="C167" s="2" t="s">
        <v>15</v>
      </c>
      <c r="D167" s="2" t="s">
        <v>214</v>
      </c>
      <c r="E167" s="2" t="s">
        <v>380</v>
      </c>
      <c r="F167" s="2">
        <v>0</v>
      </c>
      <c r="G167" s="2">
        <v>10</v>
      </c>
      <c r="H167" s="2">
        <v>21500</v>
      </c>
      <c r="I167" s="2">
        <v>-3200</v>
      </c>
      <c r="J167">
        <v>30</v>
      </c>
      <c r="K167" t="str">
        <f t="shared" si="8"/>
        <v>Overstock</v>
      </c>
      <c r="L167">
        <f t="shared" si="7"/>
        <v>0</v>
      </c>
    </row>
    <row r="168" spans="1:12" x14ac:dyDescent="0.3">
      <c r="A168" s="2" t="s">
        <v>180</v>
      </c>
      <c r="B168" s="2" t="s">
        <v>11</v>
      </c>
      <c r="C168" s="2" t="s">
        <v>12</v>
      </c>
      <c r="D168" s="2" t="s">
        <v>213</v>
      </c>
      <c r="E168" s="2" t="s">
        <v>381</v>
      </c>
      <c r="F168" s="2">
        <v>0</v>
      </c>
      <c r="G168" s="2">
        <v>10</v>
      </c>
      <c r="H168" s="2">
        <v>21630</v>
      </c>
      <c r="I168" s="2">
        <v>-3220</v>
      </c>
      <c r="J168">
        <v>30</v>
      </c>
      <c r="K168" t="str">
        <f t="shared" si="8"/>
        <v>Overstock</v>
      </c>
      <c r="L168">
        <f t="shared" si="7"/>
        <v>0</v>
      </c>
    </row>
    <row r="169" spans="1:12" x14ac:dyDescent="0.3">
      <c r="A169" s="2" t="s">
        <v>181</v>
      </c>
      <c r="B169" s="2" t="s">
        <v>14</v>
      </c>
      <c r="C169" s="2" t="s">
        <v>15</v>
      </c>
      <c r="D169" s="2" t="s">
        <v>214</v>
      </c>
      <c r="E169" s="2" t="s">
        <v>382</v>
      </c>
      <c r="F169" s="2">
        <v>0</v>
      </c>
      <c r="G169" s="2">
        <v>10</v>
      </c>
      <c r="H169" s="2">
        <v>21760</v>
      </c>
      <c r="I169" s="2">
        <v>-3240</v>
      </c>
      <c r="J169">
        <v>30</v>
      </c>
      <c r="K169" t="str">
        <f t="shared" si="8"/>
        <v>Overstock</v>
      </c>
      <c r="L169">
        <f t="shared" si="7"/>
        <v>0</v>
      </c>
    </row>
    <row r="170" spans="1:12" x14ac:dyDescent="0.3">
      <c r="A170" s="2" t="s">
        <v>182</v>
      </c>
      <c r="B170" s="2" t="s">
        <v>11</v>
      </c>
      <c r="C170" s="2" t="s">
        <v>12</v>
      </c>
      <c r="D170" s="2" t="s">
        <v>213</v>
      </c>
      <c r="E170" s="2" t="s">
        <v>383</v>
      </c>
      <c r="F170" s="2">
        <v>0</v>
      </c>
      <c r="G170" s="2">
        <v>10</v>
      </c>
      <c r="H170" s="2">
        <v>21890</v>
      </c>
      <c r="I170" s="2">
        <v>-3260</v>
      </c>
      <c r="J170">
        <v>30</v>
      </c>
      <c r="K170" t="str">
        <f t="shared" si="8"/>
        <v>Overstock</v>
      </c>
      <c r="L170">
        <f t="shared" si="7"/>
        <v>0</v>
      </c>
    </row>
    <row r="171" spans="1:12" x14ac:dyDescent="0.3">
      <c r="A171" s="2" t="s">
        <v>183</v>
      </c>
      <c r="B171" s="2" t="s">
        <v>14</v>
      </c>
      <c r="C171" s="2" t="s">
        <v>15</v>
      </c>
      <c r="D171" s="2" t="s">
        <v>214</v>
      </c>
      <c r="E171" s="2" t="s">
        <v>384</v>
      </c>
      <c r="F171" s="2">
        <v>0</v>
      </c>
      <c r="G171" s="2">
        <v>10</v>
      </c>
      <c r="H171" s="2">
        <v>22020</v>
      </c>
      <c r="I171" s="2">
        <v>-3280</v>
      </c>
      <c r="J171">
        <v>30</v>
      </c>
      <c r="K171" t="str">
        <f t="shared" si="8"/>
        <v>Overstock</v>
      </c>
      <c r="L171">
        <f t="shared" si="7"/>
        <v>0</v>
      </c>
    </row>
    <row r="172" spans="1:12" x14ac:dyDescent="0.3">
      <c r="A172" s="2" t="s">
        <v>184</v>
      </c>
      <c r="B172" s="2" t="s">
        <v>11</v>
      </c>
      <c r="C172" s="2" t="s">
        <v>12</v>
      </c>
      <c r="D172" s="2" t="s">
        <v>213</v>
      </c>
      <c r="E172" s="2" t="s">
        <v>385</v>
      </c>
      <c r="F172" s="2">
        <v>0</v>
      </c>
      <c r="G172" s="2">
        <v>10</v>
      </c>
      <c r="H172" s="2">
        <v>22150</v>
      </c>
      <c r="I172" s="2">
        <v>-3300</v>
      </c>
      <c r="J172">
        <v>30</v>
      </c>
      <c r="K172" t="str">
        <f t="shared" si="8"/>
        <v>Overstock</v>
      </c>
      <c r="L172">
        <f t="shared" si="7"/>
        <v>0</v>
      </c>
    </row>
    <row r="173" spans="1:12" x14ac:dyDescent="0.3">
      <c r="A173" s="2" t="s">
        <v>185</v>
      </c>
      <c r="B173" s="2" t="s">
        <v>14</v>
      </c>
      <c r="C173" s="2" t="s">
        <v>15</v>
      </c>
      <c r="D173" s="2" t="s">
        <v>214</v>
      </c>
      <c r="E173" s="2" t="s">
        <v>386</v>
      </c>
      <c r="F173" s="2">
        <v>0</v>
      </c>
      <c r="G173" s="2">
        <v>10</v>
      </c>
      <c r="H173" s="2">
        <v>22280</v>
      </c>
      <c r="I173" s="2">
        <v>-3320</v>
      </c>
      <c r="J173">
        <v>30</v>
      </c>
      <c r="K173" t="str">
        <f t="shared" si="8"/>
        <v>Overstock</v>
      </c>
      <c r="L173">
        <f t="shared" si="7"/>
        <v>0</v>
      </c>
    </row>
    <row r="174" spans="1:12" x14ac:dyDescent="0.3">
      <c r="A174" s="2" t="s">
        <v>186</v>
      </c>
      <c r="B174" s="2" t="s">
        <v>11</v>
      </c>
      <c r="C174" s="2" t="s">
        <v>12</v>
      </c>
      <c r="D174" s="2" t="s">
        <v>213</v>
      </c>
      <c r="E174" s="2" t="s">
        <v>387</v>
      </c>
      <c r="F174" s="2">
        <v>0</v>
      </c>
      <c r="G174" s="2">
        <v>10</v>
      </c>
      <c r="H174" s="2">
        <v>22410</v>
      </c>
      <c r="I174" s="2">
        <v>-3340</v>
      </c>
      <c r="J174">
        <v>30</v>
      </c>
      <c r="K174" t="str">
        <f t="shared" si="8"/>
        <v>Overstock</v>
      </c>
      <c r="L174">
        <f t="shared" si="7"/>
        <v>0</v>
      </c>
    </row>
    <row r="175" spans="1:12" x14ac:dyDescent="0.3">
      <c r="A175" s="2" t="s">
        <v>187</v>
      </c>
      <c r="B175" s="2" t="s">
        <v>14</v>
      </c>
      <c r="C175" s="2" t="s">
        <v>15</v>
      </c>
      <c r="D175" s="2" t="s">
        <v>214</v>
      </c>
      <c r="E175" s="2" t="s">
        <v>388</v>
      </c>
      <c r="F175" s="2">
        <v>0</v>
      </c>
      <c r="G175" s="2">
        <v>10</v>
      </c>
      <c r="H175" s="2">
        <v>22540</v>
      </c>
      <c r="I175" s="2">
        <v>-3360</v>
      </c>
      <c r="J175">
        <v>30</v>
      </c>
      <c r="K175" t="str">
        <f t="shared" si="8"/>
        <v>Overstock</v>
      </c>
      <c r="L175">
        <f t="shared" si="7"/>
        <v>0</v>
      </c>
    </row>
    <row r="176" spans="1:12" x14ac:dyDescent="0.3">
      <c r="A176" s="2" t="s">
        <v>188</v>
      </c>
      <c r="B176" s="2" t="s">
        <v>11</v>
      </c>
      <c r="C176" s="2" t="s">
        <v>12</v>
      </c>
      <c r="D176" s="2" t="s">
        <v>213</v>
      </c>
      <c r="E176" s="2" t="s">
        <v>389</v>
      </c>
      <c r="F176" s="2">
        <v>0</v>
      </c>
      <c r="G176" s="2">
        <v>10</v>
      </c>
      <c r="H176" s="2">
        <v>22670</v>
      </c>
      <c r="I176" s="2">
        <v>-3380</v>
      </c>
      <c r="J176">
        <v>30</v>
      </c>
      <c r="K176" t="str">
        <f t="shared" si="8"/>
        <v>Overstock</v>
      </c>
      <c r="L176">
        <f t="shared" si="7"/>
        <v>0</v>
      </c>
    </row>
    <row r="177" spans="1:12" x14ac:dyDescent="0.3">
      <c r="A177" s="2" t="s">
        <v>189</v>
      </c>
      <c r="B177" s="2" t="s">
        <v>14</v>
      </c>
      <c r="C177" s="2" t="s">
        <v>15</v>
      </c>
      <c r="D177" s="2" t="s">
        <v>214</v>
      </c>
      <c r="E177" s="2" t="s">
        <v>390</v>
      </c>
      <c r="F177" s="2">
        <v>0</v>
      </c>
      <c r="G177" s="2">
        <v>10</v>
      </c>
      <c r="H177" s="2">
        <v>22800</v>
      </c>
      <c r="I177" s="2">
        <v>-3400</v>
      </c>
      <c r="J177">
        <v>30</v>
      </c>
      <c r="K177" t="str">
        <f t="shared" si="8"/>
        <v>Overstock</v>
      </c>
      <c r="L177">
        <f t="shared" si="7"/>
        <v>0</v>
      </c>
    </row>
    <row r="178" spans="1:12" x14ac:dyDescent="0.3">
      <c r="A178" s="2" t="s">
        <v>190</v>
      </c>
      <c r="B178" s="2" t="s">
        <v>11</v>
      </c>
      <c r="C178" s="2" t="s">
        <v>12</v>
      </c>
      <c r="D178" s="2" t="s">
        <v>213</v>
      </c>
      <c r="E178" s="2" t="s">
        <v>391</v>
      </c>
      <c r="F178" s="2">
        <v>0</v>
      </c>
      <c r="G178" s="2">
        <v>10</v>
      </c>
      <c r="H178" s="2">
        <v>22930</v>
      </c>
      <c r="I178" s="2">
        <v>-3420</v>
      </c>
      <c r="J178">
        <v>30</v>
      </c>
      <c r="K178" t="str">
        <f t="shared" si="8"/>
        <v>Overstock</v>
      </c>
      <c r="L178">
        <f t="shared" si="7"/>
        <v>0</v>
      </c>
    </row>
    <row r="179" spans="1:12" x14ac:dyDescent="0.3">
      <c r="A179" s="2" t="s">
        <v>191</v>
      </c>
      <c r="B179" s="2" t="s">
        <v>14</v>
      </c>
      <c r="C179" s="2" t="s">
        <v>15</v>
      </c>
      <c r="D179" s="2" t="s">
        <v>214</v>
      </c>
      <c r="E179" s="2" t="s">
        <v>392</v>
      </c>
      <c r="F179" s="2">
        <v>0</v>
      </c>
      <c r="G179" s="2">
        <v>10</v>
      </c>
      <c r="H179" s="2">
        <v>23060</v>
      </c>
      <c r="I179" s="2">
        <v>-3440</v>
      </c>
      <c r="J179">
        <v>30</v>
      </c>
      <c r="K179" t="str">
        <f t="shared" si="8"/>
        <v>Overstock</v>
      </c>
      <c r="L179">
        <f t="shared" si="7"/>
        <v>0</v>
      </c>
    </row>
    <row r="180" spans="1:12" x14ac:dyDescent="0.3">
      <c r="A180" s="2" t="s">
        <v>192</v>
      </c>
      <c r="B180" s="2" t="s">
        <v>11</v>
      </c>
      <c r="C180" s="2" t="s">
        <v>12</v>
      </c>
      <c r="D180" s="2" t="s">
        <v>213</v>
      </c>
      <c r="E180" s="2" t="s">
        <v>393</v>
      </c>
      <c r="F180" s="2">
        <v>0</v>
      </c>
      <c r="G180" s="2">
        <v>10</v>
      </c>
      <c r="H180" s="2">
        <v>23190</v>
      </c>
      <c r="I180" s="2">
        <v>-3460</v>
      </c>
      <c r="J180">
        <v>30</v>
      </c>
      <c r="K180" t="str">
        <f t="shared" si="8"/>
        <v>Overstock</v>
      </c>
      <c r="L180">
        <f t="shared" si="7"/>
        <v>0</v>
      </c>
    </row>
    <row r="181" spans="1:12" x14ac:dyDescent="0.3">
      <c r="A181" s="2" t="s">
        <v>193</v>
      </c>
      <c r="B181" s="2" t="s">
        <v>14</v>
      </c>
      <c r="C181" s="2" t="s">
        <v>15</v>
      </c>
      <c r="D181" s="2" t="s">
        <v>214</v>
      </c>
      <c r="E181" s="2" t="s">
        <v>394</v>
      </c>
      <c r="F181" s="2">
        <v>0</v>
      </c>
      <c r="G181" s="2">
        <v>10</v>
      </c>
      <c r="H181" s="2">
        <v>23320</v>
      </c>
      <c r="I181" s="2">
        <v>-3480</v>
      </c>
      <c r="J181">
        <v>30</v>
      </c>
      <c r="K181" t="str">
        <f t="shared" si="8"/>
        <v>Overstock</v>
      </c>
      <c r="L181">
        <f t="shared" si="7"/>
        <v>0</v>
      </c>
    </row>
    <row r="182" spans="1:12" x14ac:dyDescent="0.3">
      <c r="A182" s="2" t="s">
        <v>194</v>
      </c>
      <c r="B182" s="2" t="s">
        <v>11</v>
      </c>
      <c r="C182" s="2" t="s">
        <v>12</v>
      </c>
      <c r="D182" s="2" t="s">
        <v>213</v>
      </c>
      <c r="E182" s="2" t="s">
        <v>395</v>
      </c>
      <c r="F182" s="2">
        <v>0</v>
      </c>
      <c r="G182" s="2">
        <v>10</v>
      </c>
      <c r="H182" s="2">
        <v>23450</v>
      </c>
      <c r="I182" s="2">
        <v>-3500</v>
      </c>
      <c r="J182">
        <v>30</v>
      </c>
      <c r="K182" t="str">
        <f t="shared" si="8"/>
        <v>Overstock</v>
      </c>
      <c r="L182">
        <f t="shared" si="7"/>
        <v>0</v>
      </c>
    </row>
    <row r="183" spans="1:12" x14ac:dyDescent="0.3">
      <c r="A183" s="2" t="s">
        <v>195</v>
      </c>
      <c r="B183" s="2" t="s">
        <v>14</v>
      </c>
      <c r="C183" s="2" t="s">
        <v>15</v>
      </c>
      <c r="D183" s="2" t="s">
        <v>214</v>
      </c>
      <c r="E183" s="2" t="s">
        <v>396</v>
      </c>
      <c r="F183" s="2">
        <v>0</v>
      </c>
      <c r="G183" s="2">
        <v>10</v>
      </c>
      <c r="H183" s="2">
        <v>23580</v>
      </c>
      <c r="I183" s="2">
        <v>-3520</v>
      </c>
      <c r="J183">
        <v>30</v>
      </c>
      <c r="K183" t="str">
        <f t="shared" si="8"/>
        <v>Overstock</v>
      </c>
      <c r="L183">
        <f t="shared" si="7"/>
        <v>0</v>
      </c>
    </row>
    <row r="184" spans="1:12" x14ac:dyDescent="0.3">
      <c r="A184" s="2" t="s">
        <v>196</v>
      </c>
      <c r="B184" s="2" t="s">
        <v>11</v>
      </c>
      <c r="C184" s="2" t="s">
        <v>12</v>
      </c>
      <c r="D184" s="2" t="s">
        <v>213</v>
      </c>
      <c r="E184" s="2" t="s">
        <v>397</v>
      </c>
      <c r="F184" s="2">
        <v>0</v>
      </c>
      <c r="G184" s="2">
        <v>10</v>
      </c>
      <c r="H184" s="2">
        <v>23710</v>
      </c>
      <c r="I184" s="2">
        <v>-3540</v>
      </c>
      <c r="J184">
        <v>30</v>
      </c>
      <c r="K184" t="str">
        <f t="shared" si="8"/>
        <v>Overstock</v>
      </c>
      <c r="L184">
        <f t="shared" si="7"/>
        <v>0</v>
      </c>
    </row>
    <row r="185" spans="1:12" x14ac:dyDescent="0.3">
      <c r="A185" s="2" t="s">
        <v>197</v>
      </c>
      <c r="B185" s="2" t="s">
        <v>14</v>
      </c>
      <c r="C185" s="2" t="s">
        <v>15</v>
      </c>
      <c r="D185" s="2" t="s">
        <v>214</v>
      </c>
      <c r="E185" s="2" t="s">
        <v>398</v>
      </c>
      <c r="F185" s="2">
        <v>0</v>
      </c>
      <c r="G185" s="2">
        <v>10</v>
      </c>
      <c r="H185" s="2">
        <v>23840</v>
      </c>
      <c r="I185" s="2">
        <v>-3560</v>
      </c>
      <c r="J185">
        <v>30</v>
      </c>
      <c r="K185" t="str">
        <f t="shared" si="8"/>
        <v>Overstock</v>
      </c>
      <c r="L185">
        <f t="shared" si="7"/>
        <v>0</v>
      </c>
    </row>
    <row r="186" spans="1:12" x14ac:dyDescent="0.3">
      <c r="A186" s="2" t="s">
        <v>198</v>
      </c>
      <c r="B186" s="2" t="s">
        <v>11</v>
      </c>
      <c r="C186" s="2" t="s">
        <v>12</v>
      </c>
      <c r="D186" s="2" t="s">
        <v>213</v>
      </c>
      <c r="E186" s="2" t="s">
        <v>399</v>
      </c>
      <c r="F186" s="2">
        <v>0</v>
      </c>
      <c r="G186" s="2">
        <v>10</v>
      </c>
      <c r="H186" s="2">
        <v>23970</v>
      </c>
      <c r="I186" s="2">
        <v>-3580</v>
      </c>
      <c r="J186">
        <v>30</v>
      </c>
      <c r="K186" t="str">
        <f t="shared" si="8"/>
        <v>Overstock</v>
      </c>
      <c r="L186">
        <f t="shared" si="7"/>
        <v>0</v>
      </c>
    </row>
    <row r="187" spans="1:12" x14ac:dyDescent="0.3">
      <c r="A187" s="2" t="s">
        <v>199</v>
      </c>
      <c r="B187" s="2" t="s">
        <v>14</v>
      </c>
      <c r="C187" s="2" t="s">
        <v>15</v>
      </c>
      <c r="D187" s="2" t="s">
        <v>214</v>
      </c>
      <c r="E187" s="2" t="s">
        <v>400</v>
      </c>
      <c r="F187" s="2">
        <v>0</v>
      </c>
      <c r="G187" s="2">
        <v>10</v>
      </c>
      <c r="H187" s="2">
        <v>24100</v>
      </c>
      <c r="I187" s="2">
        <v>-3600</v>
      </c>
      <c r="J187">
        <v>30</v>
      </c>
      <c r="K187" t="str">
        <f t="shared" si="8"/>
        <v>Overstock</v>
      </c>
      <c r="L187">
        <f t="shared" si="7"/>
        <v>0</v>
      </c>
    </row>
    <row r="188" spans="1:12" x14ac:dyDescent="0.3">
      <c r="A188" s="2" t="s">
        <v>200</v>
      </c>
      <c r="B188" s="2" t="s">
        <v>11</v>
      </c>
      <c r="C188" s="2" t="s">
        <v>12</v>
      </c>
      <c r="D188" s="2" t="s">
        <v>213</v>
      </c>
      <c r="E188" s="2" t="s">
        <v>401</v>
      </c>
      <c r="F188" s="2">
        <v>0</v>
      </c>
      <c r="G188" s="2">
        <v>10</v>
      </c>
      <c r="H188" s="2">
        <v>24230</v>
      </c>
      <c r="I188" s="2">
        <v>-3620</v>
      </c>
      <c r="J188">
        <v>30</v>
      </c>
      <c r="K188" t="str">
        <f t="shared" si="8"/>
        <v>Overstock</v>
      </c>
      <c r="L188">
        <f t="shared" si="7"/>
        <v>0</v>
      </c>
    </row>
    <row r="189" spans="1:12" x14ac:dyDescent="0.3">
      <c r="A189" s="2" t="s">
        <v>201</v>
      </c>
      <c r="B189" s="2" t="s">
        <v>14</v>
      </c>
      <c r="C189" s="2" t="s">
        <v>15</v>
      </c>
      <c r="D189" s="2" t="s">
        <v>214</v>
      </c>
      <c r="E189" s="2" t="s">
        <v>402</v>
      </c>
      <c r="F189" s="2">
        <v>0</v>
      </c>
      <c r="G189" s="2">
        <v>10</v>
      </c>
      <c r="H189" s="2">
        <v>24360</v>
      </c>
      <c r="I189" s="2">
        <v>-3640</v>
      </c>
      <c r="J189">
        <v>30</v>
      </c>
      <c r="K189" t="str">
        <f t="shared" si="8"/>
        <v>Overstock</v>
      </c>
      <c r="L189">
        <f t="shared" si="7"/>
        <v>0</v>
      </c>
    </row>
    <row r="190" spans="1:12" x14ac:dyDescent="0.3">
      <c r="A190" s="2" t="s">
        <v>202</v>
      </c>
      <c r="B190" s="2" t="s">
        <v>11</v>
      </c>
      <c r="C190" s="2" t="s">
        <v>12</v>
      </c>
      <c r="D190" s="2" t="s">
        <v>213</v>
      </c>
      <c r="E190" s="2" t="s">
        <v>403</v>
      </c>
      <c r="F190" s="2">
        <v>0</v>
      </c>
      <c r="G190" s="2">
        <v>10</v>
      </c>
      <c r="H190" s="2">
        <v>24490</v>
      </c>
      <c r="I190" s="2">
        <v>-3660</v>
      </c>
      <c r="J190">
        <v>30</v>
      </c>
      <c r="K190" t="str">
        <f t="shared" si="8"/>
        <v>Overstock</v>
      </c>
      <c r="L190">
        <f t="shared" si="7"/>
        <v>0</v>
      </c>
    </row>
    <row r="191" spans="1:12" x14ac:dyDescent="0.3">
      <c r="A191" s="2" t="s">
        <v>203</v>
      </c>
      <c r="B191" s="2" t="s">
        <v>14</v>
      </c>
      <c r="C191" s="2" t="s">
        <v>15</v>
      </c>
      <c r="D191" s="2" t="s">
        <v>214</v>
      </c>
      <c r="E191" s="2" t="s">
        <v>404</v>
      </c>
      <c r="F191" s="2">
        <v>0</v>
      </c>
      <c r="G191" s="2">
        <v>10</v>
      </c>
      <c r="H191" s="2">
        <v>24620</v>
      </c>
      <c r="I191" s="2">
        <v>-3680</v>
      </c>
      <c r="J191">
        <v>30</v>
      </c>
      <c r="K191" t="str">
        <f t="shared" si="8"/>
        <v>Overstock</v>
      </c>
      <c r="L191">
        <f t="shared" si="7"/>
        <v>0</v>
      </c>
    </row>
    <row r="192" spans="1:12" x14ac:dyDescent="0.3">
      <c r="A192" s="2" t="s">
        <v>204</v>
      </c>
      <c r="B192" s="2" t="s">
        <v>11</v>
      </c>
      <c r="C192" s="2" t="s">
        <v>12</v>
      </c>
      <c r="D192" s="2" t="s">
        <v>213</v>
      </c>
      <c r="E192" s="2" t="s">
        <v>405</v>
      </c>
      <c r="F192" s="2">
        <v>0</v>
      </c>
      <c r="G192" s="2">
        <v>10</v>
      </c>
      <c r="H192" s="2">
        <v>24750</v>
      </c>
      <c r="I192" s="2">
        <v>-3700</v>
      </c>
      <c r="J192">
        <v>30</v>
      </c>
      <c r="K192" t="str">
        <f t="shared" si="8"/>
        <v>Overstock</v>
      </c>
      <c r="L192">
        <f t="shared" si="7"/>
        <v>0</v>
      </c>
    </row>
    <row r="193" spans="1:12" x14ac:dyDescent="0.3">
      <c r="A193" s="2" t="s">
        <v>205</v>
      </c>
      <c r="B193" s="2" t="s">
        <v>14</v>
      </c>
      <c r="C193" s="2" t="s">
        <v>15</v>
      </c>
      <c r="D193" s="2" t="s">
        <v>214</v>
      </c>
      <c r="E193" s="2" t="s">
        <v>406</v>
      </c>
      <c r="F193" s="2">
        <v>0</v>
      </c>
      <c r="G193" s="2">
        <v>10</v>
      </c>
      <c r="H193" s="2">
        <v>24880</v>
      </c>
      <c r="I193" s="2">
        <v>-3720</v>
      </c>
      <c r="J193">
        <v>30</v>
      </c>
      <c r="K193" t="str">
        <f t="shared" si="8"/>
        <v>Overstock</v>
      </c>
      <c r="L193">
        <f t="shared" si="7"/>
        <v>0</v>
      </c>
    </row>
    <row r="194" spans="1:12" x14ac:dyDescent="0.3">
      <c r="A194" s="2" t="s">
        <v>206</v>
      </c>
      <c r="B194" s="2" t="s">
        <v>11</v>
      </c>
      <c r="C194" s="2" t="s">
        <v>12</v>
      </c>
      <c r="D194" s="2" t="s">
        <v>213</v>
      </c>
      <c r="E194" s="2" t="s">
        <v>407</v>
      </c>
      <c r="F194" s="2">
        <v>0</v>
      </c>
      <c r="G194" s="2">
        <v>10</v>
      </c>
      <c r="H194" s="2">
        <v>25010</v>
      </c>
      <c r="I194" s="2">
        <v>-3740</v>
      </c>
      <c r="J194">
        <v>30</v>
      </c>
      <c r="K194" t="str">
        <f t="shared" ref="K194:K200" si="9">IF(H194&lt;I194,"Understock",
 IF(H194&gt;I194*2,"Overstock","Optimal"))</f>
        <v>Overstock</v>
      </c>
      <c r="L194">
        <f t="shared" si="7"/>
        <v>0</v>
      </c>
    </row>
    <row r="195" spans="1:12" x14ac:dyDescent="0.3">
      <c r="A195" s="2" t="s">
        <v>207</v>
      </c>
      <c r="B195" s="2" t="s">
        <v>14</v>
      </c>
      <c r="C195" s="2" t="s">
        <v>15</v>
      </c>
      <c r="D195" s="2" t="s">
        <v>214</v>
      </c>
      <c r="E195" s="2" t="s">
        <v>408</v>
      </c>
      <c r="F195" s="2">
        <v>0</v>
      </c>
      <c r="G195" s="2">
        <v>10</v>
      </c>
      <c r="H195" s="2">
        <v>25140</v>
      </c>
      <c r="I195" s="2">
        <v>-3760</v>
      </c>
      <c r="J195">
        <v>30</v>
      </c>
      <c r="K195" t="str">
        <f t="shared" si="9"/>
        <v>Overstock</v>
      </c>
      <c r="L195">
        <f t="shared" ref="L195:L200" si="10">IFERROR(G195/F195,0)</f>
        <v>0</v>
      </c>
    </row>
    <row r="196" spans="1:12" x14ac:dyDescent="0.3">
      <c r="A196" s="2" t="s">
        <v>208</v>
      </c>
      <c r="B196" s="2" t="s">
        <v>11</v>
      </c>
      <c r="C196" s="2" t="s">
        <v>12</v>
      </c>
      <c r="D196" s="2" t="s">
        <v>213</v>
      </c>
      <c r="E196" s="2" t="s">
        <v>409</v>
      </c>
      <c r="F196" s="2">
        <v>0</v>
      </c>
      <c r="G196" s="2">
        <v>10</v>
      </c>
      <c r="H196" s="2">
        <v>25270</v>
      </c>
      <c r="I196" s="2">
        <v>-3780</v>
      </c>
      <c r="J196">
        <v>30</v>
      </c>
      <c r="K196" t="str">
        <f t="shared" si="9"/>
        <v>Overstock</v>
      </c>
      <c r="L196">
        <f t="shared" si="10"/>
        <v>0</v>
      </c>
    </row>
    <row r="197" spans="1:12" x14ac:dyDescent="0.3">
      <c r="A197" s="2" t="s">
        <v>209</v>
      </c>
      <c r="B197" s="2" t="s">
        <v>14</v>
      </c>
      <c r="C197" s="2" t="s">
        <v>15</v>
      </c>
      <c r="D197" s="2" t="s">
        <v>214</v>
      </c>
      <c r="E197" s="2" t="s">
        <v>410</v>
      </c>
      <c r="F197" s="2">
        <v>0</v>
      </c>
      <c r="G197" s="2">
        <v>10</v>
      </c>
      <c r="H197" s="2">
        <v>25400</v>
      </c>
      <c r="I197" s="2">
        <v>-3800</v>
      </c>
      <c r="J197">
        <v>30</v>
      </c>
      <c r="K197" t="str">
        <f t="shared" si="9"/>
        <v>Overstock</v>
      </c>
      <c r="L197">
        <f t="shared" si="10"/>
        <v>0</v>
      </c>
    </row>
    <row r="198" spans="1:12" x14ac:dyDescent="0.3">
      <c r="A198" s="2" t="s">
        <v>210</v>
      </c>
      <c r="B198" s="2" t="s">
        <v>11</v>
      </c>
      <c r="C198" s="2" t="s">
        <v>12</v>
      </c>
      <c r="D198" s="2" t="s">
        <v>213</v>
      </c>
      <c r="E198" s="2" t="s">
        <v>411</v>
      </c>
      <c r="F198" s="2">
        <v>0</v>
      </c>
      <c r="G198" s="2">
        <v>10</v>
      </c>
      <c r="H198" s="2">
        <v>25530</v>
      </c>
      <c r="I198" s="2">
        <v>-3820</v>
      </c>
      <c r="J198">
        <v>30</v>
      </c>
      <c r="K198" t="str">
        <f t="shared" si="9"/>
        <v>Overstock</v>
      </c>
      <c r="L198">
        <f t="shared" si="10"/>
        <v>0</v>
      </c>
    </row>
    <row r="199" spans="1:12" x14ac:dyDescent="0.3">
      <c r="A199" s="2" t="s">
        <v>211</v>
      </c>
      <c r="B199" s="2" t="s">
        <v>14</v>
      </c>
      <c r="C199" s="2" t="s">
        <v>15</v>
      </c>
      <c r="D199" s="2" t="s">
        <v>214</v>
      </c>
      <c r="E199" s="2" t="s">
        <v>412</v>
      </c>
      <c r="F199" s="2">
        <v>0</v>
      </c>
      <c r="G199" s="2">
        <v>10</v>
      </c>
      <c r="H199" s="2">
        <v>25660</v>
      </c>
      <c r="I199" s="2">
        <v>-3840</v>
      </c>
      <c r="J199">
        <v>30</v>
      </c>
      <c r="K199" t="str">
        <f t="shared" si="9"/>
        <v>Overstock</v>
      </c>
      <c r="L199">
        <f t="shared" si="10"/>
        <v>0</v>
      </c>
    </row>
    <row r="200" spans="1:12" x14ac:dyDescent="0.3">
      <c r="A200" s="2" t="s">
        <v>212</v>
      </c>
      <c r="B200" s="2" t="s">
        <v>11</v>
      </c>
      <c r="C200" s="2" t="s">
        <v>12</v>
      </c>
      <c r="D200" s="2" t="s">
        <v>213</v>
      </c>
      <c r="E200" s="2" t="s">
        <v>413</v>
      </c>
      <c r="F200" s="2">
        <v>0</v>
      </c>
      <c r="G200" s="2">
        <v>10</v>
      </c>
      <c r="H200" s="2">
        <v>25790</v>
      </c>
      <c r="I200" s="2">
        <v>-3860</v>
      </c>
      <c r="J200" t="e">
        <f>IF(#REF!&lt;1,1,IF(#REF!&gt;30,30,#REF!))</f>
        <v>#REF!</v>
      </c>
      <c r="K200" t="str">
        <f t="shared" si="9"/>
        <v>Overstock</v>
      </c>
      <c r="L200">
        <f t="shared" si="10"/>
        <v>0</v>
      </c>
    </row>
  </sheetData>
  <autoFilter ref="A1:L200" xr:uid="{F710CC21-A22F-4331-AE6E-2617E8C9F7E6}"/>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396EF-637E-4992-AD9B-E0F08AAB890A}">
  <dimension ref="B2:J24"/>
  <sheetViews>
    <sheetView showGridLines="0" tabSelected="1" workbookViewId="0">
      <selection activeCell="D2" sqref="D2"/>
    </sheetView>
  </sheetViews>
  <sheetFormatPr defaultRowHeight="14.4" x14ac:dyDescent="0.3"/>
  <cols>
    <col min="1" max="16384" width="8.88671875" style="6"/>
  </cols>
  <sheetData>
    <row r="2" spans="2:10" ht="28.8" x14ac:dyDescent="0.55000000000000004">
      <c r="I2" s="7" t="s">
        <v>422</v>
      </c>
      <c r="J2" s="8"/>
    </row>
    <row r="3" spans="2:10" x14ac:dyDescent="0.3">
      <c r="C3" s="6">
        <f>KPI_Calculations!C4</f>
        <v>99</v>
      </c>
    </row>
    <row r="4" spans="2:10" x14ac:dyDescent="0.3">
      <c r="B4" s="6">
        <f>KPI_Calculations!A2</f>
        <v>99</v>
      </c>
    </row>
    <row r="24" spans="5:7" x14ac:dyDescent="0.3">
      <c r="E24" s="6">
        <f>KPI_Calculations!F4</f>
        <v>1</v>
      </c>
      <c r="G24" s="6">
        <f>KPI_Calculations!M2</f>
        <v>30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C3786-B5BF-487D-B4B0-D31FB24F67DA}">
  <dimension ref="A1:M4"/>
  <sheetViews>
    <sheetView topLeftCell="D1" workbookViewId="0">
      <selection activeCell="M2" sqref="M2"/>
    </sheetView>
  </sheetViews>
  <sheetFormatPr defaultRowHeight="14.4" x14ac:dyDescent="0.3"/>
  <cols>
    <col min="1" max="1" width="15.5546875" bestFit="1" customWidth="1"/>
    <col min="3" max="3" width="15.5546875" bestFit="1" customWidth="1"/>
    <col min="4" max="4" width="11.44140625" bestFit="1" customWidth="1"/>
    <col min="6" max="6" width="15.5546875" bestFit="1" customWidth="1"/>
    <col min="7" max="7" width="11.44140625" bestFit="1" customWidth="1"/>
    <col min="9" max="9" width="25" bestFit="1" customWidth="1"/>
    <col min="11" max="11" width="27.88671875" bestFit="1" customWidth="1"/>
    <col min="13" max="13" width="25" bestFit="1" customWidth="1"/>
  </cols>
  <sheetData>
    <row r="1" spans="1:13" x14ac:dyDescent="0.3">
      <c r="A1" t="s">
        <v>416</v>
      </c>
      <c r="C1" s="3" t="s">
        <v>414</v>
      </c>
      <c r="D1" t="s">
        <v>423</v>
      </c>
      <c r="F1" s="3" t="s">
        <v>414</v>
      </c>
      <c r="G1" t="s">
        <v>423</v>
      </c>
      <c r="K1" t="s">
        <v>418</v>
      </c>
      <c r="M1" t="s">
        <v>417</v>
      </c>
    </row>
    <row r="2" spans="1:13" x14ac:dyDescent="0.3">
      <c r="A2" s="5">
        <v>99</v>
      </c>
      <c r="K2" s="5">
        <v>0</v>
      </c>
      <c r="M2" s="5">
        <v>30</v>
      </c>
    </row>
    <row r="3" spans="1:13" x14ac:dyDescent="0.3">
      <c r="C3" t="s">
        <v>416</v>
      </c>
      <c r="F3" t="s">
        <v>416</v>
      </c>
    </row>
    <row r="4" spans="1:13" x14ac:dyDescent="0.3">
      <c r="C4" s="5">
        <v>99</v>
      </c>
      <c r="F4" s="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01C3-0762-4BC4-B77E-90A9724D3186}">
  <dimension ref="A1:H3"/>
  <sheetViews>
    <sheetView topLeftCell="B1" workbookViewId="0">
      <selection activeCell="H13" sqref="H13"/>
    </sheetView>
  </sheetViews>
  <sheetFormatPr defaultRowHeight="14.4" x14ac:dyDescent="0.3"/>
  <cols>
    <col min="1" max="1" width="12.5546875" bestFit="1" customWidth="1"/>
    <col min="2" max="2" width="15.5546875" bestFit="1" customWidth="1"/>
    <col min="4" max="4" width="12.5546875" bestFit="1" customWidth="1"/>
    <col min="5" max="5" width="19.6640625" bestFit="1" customWidth="1"/>
    <col min="7" max="7" width="12.5546875" bestFit="1" customWidth="1"/>
    <col min="8" max="8" width="19.6640625" bestFit="1" customWidth="1"/>
  </cols>
  <sheetData>
    <row r="1" spans="1:8" x14ac:dyDescent="0.3">
      <c r="A1" s="3" t="s">
        <v>419</v>
      </c>
      <c r="B1" t="s">
        <v>416</v>
      </c>
      <c r="D1" s="3" t="s">
        <v>419</v>
      </c>
      <c r="E1" t="s">
        <v>421</v>
      </c>
      <c r="G1" s="3" t="s">
        <v>419</v>
      </c>
      <c r="H1" t="s">
        <v>421</v>
      </c>
    </row>
    <row r="2" spans="1:8" x14ac:dyDescent="0.3">
      <c r="A2" s="4" t="s">
        <v>423</v>
      </c>
      <c r="B2" s="5">
        <v>1</v>
      </c>
      <c r="D2" s="4" t="s">
        <v>12</v>
      </c>
      <c r="E2" s="5">
        <v>13310</v>
      </c>
      <c r="G2" s="4" t="s">
        <v>317</v>
      </c>
      <c r="H2" s="5">
        <v>13310</v>
      </c>
    </row>
    <row r="3" spans="1:8" x14ac:dyDescent="0.3">
      <c r="A3" s="4" t="s">
        <v>420</v>
      </c>
      <c r="B3" s="5">
        <v>1</v>
      </c>
      <c r="D3" s="4" t="s">
        <v>420</v>
      </c>
      <c r="E3" s="5">
        <v>13310</v>
      </c>
      <c r="G3" s="4" t="s">
        <v>420</v>
      </c>
      <c r="H3" s="5">
        <v>13310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Dashboard</vt:lpstr>
      <vt:lpstr>KPI_Calculations</vt:lpstr>
      <vt:lpstr>Analysis_Pivots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CHAURASIA</dc:creator>
  <cp:lastModifiedBy>PRIYA CHAURASIA</cp:lastModifiedBy>
  <dcterms:created xsi:type="dcterms:W3CDTF">2026-01-09T13:08:42Z</dcterms:created>
  <dcterms:modified xsi:type="dcterms:W3CDTF">2026-01-09T15:27:05Z</dcterms:modified>
</cp:coreProperties>
</file>